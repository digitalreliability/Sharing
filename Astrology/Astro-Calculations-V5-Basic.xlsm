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-Files\"/>
    </mc:Choice>
  </mc:AlternateContent>
  <xr:revisionPtr revIDLastSave="0" documentId="13_ncr:1_{7AD8F1EF-8762-41F2-A166-41663DF51D58}" xr6:coauthVersionLast="47" xr6:coauthVersionMax="47" xr10:uidLastSave="{00000000-0000-0000-0000-000000000000}"/>
  <bookViews>
    <workbookView xWindow="-23148" yWindow="1296" windowWidth="23256" windowHeight="12456" activeTab="2" xr2:uid="{0EB2AAD3-C9B5-4A76-8A95-401A377D70E8}"/>
  </bookViews>
  <sheets>
    <sheet name="Sheet1" sheetId="1" r:id="rId1"/>
    <sheet name="Data" sheetId="3" r:id="rId2"/>
    <sheet name="Horoscope" sheetId="4" r:id="rId3"/>
  </sheets>
  <definedNames>
    <definedName name="_xlpm.a" hidden="1" xlm="1">#NAME?</definedName>
    <definedName name="_xlpm.allText" hidden="1" xlm="1">#NAME?</definedName>
    <definedName name="_xlpm.asc_deg" hidden="1" xlm="1">#NAME?</definedName>
    <definedName name="_xlpm.aya" hidden="1" xlm="1">#NAME?</definedName>
    <definedName name="_xlpm.ayanamsa" hidden="1" xlm="1">#NAME?</definedName>
    <definedName name="_xlpm.d" hidden="1" xlm="1">#NAME?</definedName>
    <definedName name="_xlpm.date_str" hidden="1" xlm="1">#NAME?</definedName>
    <definedName name="_xlpm.day" hidden="1" xlm="1">#NAME?</definedName>
    <definedName name="_xlpm.DEC_deg" hidden="1" xlm="1">#NAME?</definedName>
    <definedName name="_xlpm.DEC_rad" hidden="1" xlm="1">#NAME?</definedName>
    <definedName name="_xlpm.decDeg" hidden="1" xlm="1">#NAME?</definedName>
    <definedName name="_xlpm.decMin" hidden="1" xlm="1">#NAME?</definedName>
    <definedName name="_xlpm.decNum" hidden="1" xlm="1">#NAME?</definedName>
    <definedName name="_xlpm.decSec" hidden="1" xlm="1">#NAME?</definedName>
    <definedName name="_xlpm.decSign" hidden="1" xlm="1">#NAME?</definedName>
    <definedName name="_xlpm.decText" hidden="1" xlm="1">#NAME?</definedName>
    <definedName name="_xlpm.decTextFull" hidden="1" xlm="1">#NAME?</definedName>
    <definedName name="_xlpm.degrees" hidden="1" xlm="1">#NAME?</definedName>
    <definedName name="_xlpm.distance" hidden="1" xlm="1">#NAME?</definedName>
    <definedName name="_xlpm.distanceText" hidden="1" xlm="1">#NAME?</definedName>
    <definedName name="_xlpm.distEnd" hidden="1" xlm="1">#NAME?</definedName>
    <definedName name="_xlpm.distStart" hidden="1" xlm="1">#NAME?</definedName>
    <definedName name="_xlpm.distString" hidden="1" xlm="1">#NAME?</definedName>
    <definedName name="_xlpm.dy" hidden="1" xlm="1">#NAME?</definedName>
    <definedName name="_xlpm.ecl_den" hidden="1" xlm="1">#NAME?</definedName>
    <definedName name="_xlpm.ecl_num" hidden="1" xlm="1">#NAME?</definedName>
    <definedName name="_xlpm.end_ra_pos" hidden="1" xlm="1">#NAME?</definedName>
    <definedName name="_xlpm.gst" hidden="1" xlm="1">#NAME?</definedName>
    <definedName name="_xlpm.GST_deg" hidden="1" xlm="1">#NAME?</definedName>
    <definedName name="_xlpm.h" hidden="1" xlm="1">#NAME?</definedName>
    <definedName name="_xlpm.h_pos" hidden="1" xlm="1">#NAME?</definedName>
    <definedName name="_xlpm.hours" hidden="1" xlm="1">#NAME?</definedName>
    <definedName name="_xlpm.hPos" hidden="1" xlm="1">#NAME?</definedName>
    <definedName name="_xlpm.hr" hidden="1" xlm="1">#NAME?</definedName>
    <definedName name="_xlpm.hrs" hidden="1" xlm="1">#NAME?</definedName>
    <definedName name="_xlpm.jd" hidden="1" xlm="1">#NAME?</definedName>
    <definedName name="_xlpm.julian_day" hidden="1" xlm="1">#NAME?</definedName>
    <definedName name="_xlpm.julian_time" hidden="1" xlm="1">#NAME?</definedName>
    <definedName name="_xlpm.la" hidden="1" xlm="1">#NAME?</definedName>
    <definedName name="_xlpm.lat" hidden="1" xlm="1">#NAME?</definedName>
    <definedName name="_xlpm.lo" hidden="1" xlm="1">#NAME?</definedName>
    <definedName name="_xlpm.lon" hidden="1" xlm="1">#NAME?</definedName>
    <definedName name="_xlpm.lst" hidden="1" xlm="1">#NAME?</definedName>
    <definedName name="_xlpm.LST_deg" hidden="1" xlm="1">#NAME?</definedName>
    <definedName name="_xlpm.m" hidden="1" xlm="1">#NAME?</definedName>
    <definedName name="_xlpm.m_pos" hidden="1" xlm="1">#NAME?</definedName>
    <definedName name="_xlpm.min" hidden="1" xlm="1">#NAME?</definedName>
    <definedName name="_xlpm.mins" hidden="1" xlm="1">#NAME?</definedName>
    <definedName name="_xlpm.minutes" hidden="1" xlm="1">#NAME?</definedName>
    <definedName name="_xlpm.mn" hidden="1" xlm="1">#NAME?</definedName>
    <definedName name="_xlpm.mo" hidden="1" xlm="1">#NAME?</definedName>
    <definedName name="_xlpm.month" hidden="1" xlm="1">#NAME?</definedName>
    <definedName name="_xlpm.mPos" hidden="1" xlm="1">#NAME?</definedName>
    <definedName name="_xlpm.obl" hidden="1" xlm="1">#NAME?</definedName>
    <definedName name="_xlpm.obliq" hidden="1" xlm="1">#NAME?</definedName>
    <definedName name="_xlpm.obliq_rad" hidden="1" xlm="1">#NAME?</definedName>
    <definedName name="_xlpm.obliquity" hidden="1" xlm="1">#NAME?</definedName>
    <definedName name="_xlpm.ours" hidden="1" xlm="1">#NAME?</definedName>
    <definedName name="_xlpm.planet" hidden="1" xlm="1">#NAME?</definedName>
    <definedName name="_xlpm.planetBlock" hidden="1" xlm="1">#NAME?</definedName>
    <definedName name="_xlpm.planetText" hidden="1" xlm="1">#NAME?</definedName>
    <definedName name="_xlpm.posDistance" hidden="1" xlm="1">#NAME?</definedName>
    <definedName name="_xlpm.posPlanet" hidden="1" xlm="1">#NAME?</definedName>
    <definedName name="_xlpm.RA_deg" hidden="1" xlm="1">#NAME?</definedName>
    <definedName name="_xlpm.ra_end" hidden="1" xlm="1">#NAME?</definedName>
    <definedName name="_xlpm.RA_rad" hidden="1" xlm="1">#NAME?</definedName>
    <definedName name="_xlpm.ra_start" hidden="1" xlm="1">#NAME?</definedName>
    <definedName name="_xlpm.ra_start_index" hidden="1" xlm="1">#NAME?</definedName>
    <definedName name="_xlpm.ra_text" hidden="1" xlm="1">#NAME?</definedName>
    <definedName name="_xlpm.raEnd" hidden="1" xlm="1">#NAME?</definedName>
    <definedName name="_xlpm.raH" hidden="1" xlm="1">#NAME?</definedName>
    <definedName name="_xlpm.raM" hidden="1" xlm="1">#NAME?</definedName>
    <definedName name="_xlpm.raPiece" hidden="1" xlm="1">#NAME?</definedName>
    <definedName name="_xlpm.raPos" hidden="1" xlm="1">#NAME?</definedName>
    <definedName name="_xlpm.raS" hidden="1" xlm="1">#NAME?</definedName>
    <definedName name="_xlpm.raStart" hidden="1" xlm="1">#NAME?</definedName>
    <definedName name="_xlpm.raString" hidden="1" xlm="1">#NAME?</definedName>
    <definedName name="_xlpm.raText" hidden="1" xlm="1">#NAME?</definedName>
    <definedName name="_xlpm.raTextFull" hidden="1" xlm="1">#NAME?</definedName>
    <definedName name="_xlpm.s_pos" hidden="1" xlm="1">#NAME?</definedName>
    <definedName name="_xlpm.search_dec_end" hidden="1" xlm="1">#NAME?</definedName>
    <definedName name="_xlpm.search_ra_start" hidden="1" xlm="1">#NAME?</definedName>
    <definedName name="_xlpm.searchString" hidden="1" xlm="1">#NAME?</definedName>
    <definedName name="_xlpm.seconds" hidden="1" xlm="1">#NAME?</definedName>
    <definedName name="_xlpm.seconds_text" hidden="1" xlm="1">#NAME?</definedName>
    <definedName name="_xlpm.secs" hidden="1" xlm="1">#NAME?</definedName>
    <definedName name="_xlpm.sidereal_lambda" hidden="1" xlm="1">#NAME?</definedName>
    <definedName name="_xlpm.sign_idx" hidden="1" xlm="1">#NAME?</definedName>
    <definedName name="_xlpm.sign_pos" hidden="1" xlm="1">#NAME?</definedName>
    <definedName name="_xlpm.signs" hidden="1" xlm="1">#NAME?</definedName>
    <definedName name="_xlpm.sPos" hidden="1" xlm="1">#NAME?</definedName>
    <definedName name="_xlpm.start_earth" hidden="1" xlm="1">#NAME?</definedName>
    <definedName name="_xlpm.start_jupiter" hidden="1" xlm="1">#NAME?</definedName>
    <definedName name="_xlpm.start_mars" hidden="1" xlm="1">#NAME?</definedName>
    <definedName name="_xlpm.start_mercury" hidden="1" xlm="1">#NAME?</definedName>
    <definedName name="_xlpm.start_moon" hidden="1" xlm="1">#NAME?</definedName>
    <definedName name="_xlpm.start_neptune" hidden="1" xlm="1">#NAME?</definedName>
    <definedName name="_xlpm.start_pluto" hidden="1" xlm="1">#NAME?</definedName>
    <definedName name="_xlpm.start_ra_pos" hidden="1" xlm="1">#NAME?</definedName>
    <definedName name="_xlpm.start_saturn" hidden="1" xlm="1">#NAME?</definedName>
    <definedName name="_xlpm.start_sun" hidden="1" xlm="1">#NAME?</definedName>
    <definedName name="_xlpm.start_uranus" hidden="1" xlm="1">#NAME?</definedName>
    <definedName name="_xlpm.start_venus" hidden="1" xlm="1">#NAME?</definedName>
    <definedName name="_xlpm.startIndex" hidden="1" xlm="1">#NAME?</definedName>
    <definedName name="_xlpm.startPos" hidden="1" xlm="1">#NAME?</definedName>
    <definedName name="_xlpm.sun_deg" hidden="1" xlm="1">#NAME?</definedName>
    <definedName name="_xlpm.t" hidden="1" xlm="1">#NAME?</definedName>
    <definedName name="_xlpm.T_" hidden="1" xlm="1">#NAME?</definedName>
    <definedName name="_xlpm.target_planet" hidden="1" xlm="1">#NAME?</definedName>
    <definedName name="_xlpm.time_padded" hidden="1" xlm="1">#NAME?</definedName>
    <definedName name="_xlpm.time_str" hidden="1" xlm="1">#NAME?</definedName>
    <definedName name="_xlpm.tm" hidden="1" xlm="1">#NAME?</definedName>
    <definedName name="_xlpm.total_degrees" hidden="1" xlm="1">#NAME?</definedName>
    <definedName name="_xlpm.tropical_lambda_deg" hidden="1" xlm="1">#NAME?</definedName>
    <definedName name="_xlpm.tropical_lambda_rad" hidden="1" xlm="1">#NAME?</definedName>
    <definedName name="_xlpm.urs" hidden="1" xlm="1">#NAME?</definedName>
    <definedName name="_xlpm.venText" hidden="1" xlm="1">#NAME?</definedName>
    <definedName name="_xlpm.x" hidden="1" xlm="1">#NAME?</definedName>
    <definedName name="_xlpm.y" hidden="1" xlm="1">#NAME?</definedName>
    <definedName name="_xlpm.year_full" hidden="1" xlm="1">#NAME?</definedName>
    <definedName name="_xlpm.yr" hidden="1" xlm="1">#NAME?</definedName>
    <definedName name="_xlpm.zodiacDe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4" l="1"/>
  <c r="N3" i="4"/>
  <c r="F65" i="1" s="1"/>
  <c r="M3" i="4"/>
  <c r="F64" i="1" s="1"/>
  <c r="G74" i="1"/>
  <c r="F93" i="1" s="1"/>
  <c r="B93" i="1" s="1"/>
  <c r="H73" i="1"/>
  <c r="G92" i="1" s="1"/>
  <c r="G73" i="1"/>
  <c r="F92" i="1" s="1"/>
  <c r="H72" i="1"/>
  <c r="G91" i="1" s="1"/>
  <c r="G72" i="1"/>
  <c r="F91" i="1" s="1"/>
  <c r="B91" i="1" s="1"/>
  <c r="H71" i="1"/>
  <c r="G90" i="1" s="1"/>
  <c r="G71" i="1"/>
  <c r="F90" i="1" s="1"/>
  <c r="B90" i="1" s="1"/>
  <c r="H70" i="1"/>
  <c r="G89" i="1" s="1"/>
  <c r="G70" i="1"/>
  <c r="F89" i="1" s="1"/>
  <c r="H69" i="1"/>
  <c r="G88" i="1" s="1"/>
  <c r="G69" i="1"/>
  <c r="F88" i="1" s="1"/>
  <c r="B88" i="1" s="1"/>
  <c r="H68" i="1"/>
  <c r="G87" i="1" s="1"/>
  <c r="G68" i="1"/>
  <c r="F87" i="1" s="1"/>
  <c r="H87" i="1" s="1"/>
  <c r="H67" i="1"/>
  <c r="G86" i="1" s="1"/>
  <c r="G67" i="1"/>
  <c r="F86" i="1" s="1"/>
  <c r="H66" i="1"/>
  <c r="G85" i="1" s="1"/>
  <c r="G66" i="1"/>
  <c r="F85" i="1" s="1"/>
  <c r="H65" i="1"/>
  <c r="G84" i="1" s="1"/>
  <c r="G65" i="1"/>
  <c r="F84" i="1" s="1"/>
  <c r="H64" i="1"/>
  <c r="G83" i="1" s="1"/>
  <c r="G64" i="1"/>
  <c r="F83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H63" i="1"/>
  <c r="G82" i="1" s="1"/>
  <c r="G63" i="1"/>
  <c r="F82" i="1" s="1"/>
  <c r="H62" i="1"/>
  <c r="G81" i="1" s="1"/>
  <c r="G62" i="1"/>
  <c r="F81" i="1" s="1"/>
  <c r="B81" i="1" s="1"/>
  <c r="E43" i="1"/>
  <c r="E44" i="1"/>
  <c r="E45" i="1"/>
  <c r="E46" i="1"/>
  <c r="E47" i="1"/>
  <c r="E48" i="1"/>
  <c r="E49" i="1"/>
  <c r="E50" i="1"/>
  <c r="E51" i="1"/>
  <c r="E52" i="1"/>
  <c r="E53" i="1"/>
  <c r="E54" i="1"/>
  <c r="E42" i="1"/>
  <c r="F9" i="1"/>
  <c r="F68" i="1" s="1"/>
  <c r="C20" i="1"/>
  <c r="C19" i="1"/>
  <c r="C18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I84" i="1" l="1"/>
  <c r="B84" i="1"/>
  <c r="H85" i="1"/>
  <c r="B85" i="1"/>
  <c r="I86" i="1"/>
  <c r="B86" i="1"/>
  <c r="I82" i="1"/>
  <c r="B82" i="1"/>
  <c r="B83" i="1"/>
  <c r="I83" i="1"/>
  <c r="H83" i="1"/>
  <c r="C83" i="1" s="1"/>
  <c r="H86" i="1"/>
  <c r="B87" i="1"/>
  <c r="H92" i="1"/>
  <c r="H82" i="1"/>
  <c r="I85" i="1"/>
  <c r="H88" i="1"/>
  <c r="I88" i="1"/>
  <c r="H91" i="1"/>
  <c r="I91" i="1"/>
  <c r="I87" i="1"/>
  <c r="B89" i="1"/>
  <c r="H90" i="1"/>
  <c r="H93" i="1"/>
  <c r="I90" i="1"/>
  <c r="B92" i="1"/>
  <c r="I93" i="1"/>
  <c r="H89" i="1"/>
  <c r="I89" i="1"/>
  <c r="I92" i="1"/>
  <c r="H81" i="1"/>
  <c r="I81" i="1"/>
  <c r="H84" i="1"/>
  <c r="F38" i="1"/>
  <c r="L4" i="1"/>
  <c r="L5" i="1" s="1"/>
  <c r="L6" i="1" s="1"/>
  <c r="H4" i="1"/>
  <c r="G27" i="1" s="1"/>
  <c r="H5" i="1"/>
  <c r="G28" i="1" s="1"/>
  <c r="H6" i="1"/>
  <c r="G29" i="1" s="1"/>
  <c r="H7" i="1"/>
  <c r="G30" i="1" s="1"/>
  <c r="H8" i="1"/>
  <c r="G31" i="1" s="1"/>
  <c r="H9" i="1"/>
  <c r="G32" i="1" s="1"/>
  <c r="H10" i="1"/>
  <c r="G33" i="1" s="1"/>
  <c r="H11" i="1"/>
  <c r="G34" i="1" s="1"/>
  <c r="H12" i="1"/>
  <c r="G35" i="1" s="1"/>
  <c r="H13" i="1"/>
  <c r="G36" i="1" s="1"/>
  <c r="H14" i="1"/>
  <c r="G37" i="1" s="1"/>
  <c r="H3" i="1"/>
  <c r="G26" i="1" s="1"/>
  <c r="F27" i="1"/>
  <c r="F28" i="1"/>
  <c r="F29" i="1"/>
  <c r="F30" i="1"/>
  <c r="F31" i="1"/>
  <c r="F32" i="1"/>
  <c r="F33" i="1"/>
  <c r="F34" i="1"/>
  <c r="F35" i="1"/>
  <c r="F36" i="1"/>
  <c r="F37" i="1"/>
  <c r="G19" i="1"/>
  <c r="F6" i="1" s="1"/>
  <c r="F19" i="1"/>
  <c r="G20" i="1"/>
  <c r="F8" i="1" s="1"/>
  <c r="F67" i="1" s="1"/>
  <c r="F20" i="1"/>
  <c r="F7" i="1" s="1"/>
  <c r="F66" i="1" s="1"/>
  <c r="P26" i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A93" i="1" l="1"/>
  <c r="J93" i="1" s="1"/>
  <c r="C87" i="1"/>
  <c r="D87" i="1"/>
  <c r="D83" i="1"/>
  <c r="C93" i="1"/>
  <c r="D93" i="1"/>
  <c r="D90" i="1"/>
  <c r="C90" i="1"/>
  <c r="C81" i="1"/>
  <c r="D81" i="1"/>
  <c r="D89" i="1"/>
  <c r="C89" i="1"/>
  <c r="D84" i="1"/>
  <c r="C84" i="1"/>
  <c r="P43" i="1"/>
  <c r="B31" i="1"/>
  <c r="F47" i="1"/>
  <c r="G47" i="1" s="1"/>
  <c r="B34" i="1"/>
  <c r="F50" i="1"/>
  <c r="G50" i="1" s="1"/>
  <c r="B50" i="1" s="1"/>
  <c r="F49" i="1"/>
  <c r="G49" i="1" s="1"/>
  <c r="B49" i="1" s="1"/>
  <c r="B33" i="1"/>
  <c r="B32" i="1"/>
  <c r="F48" i="1"/>
  <c r="G48" i="1" s="1"/>
  <c r="F46" i="1"/>
  <c r="G46" i="1" s="1"/>
  <c r="B30" i="1"/>
  <c r="B29" i="1"/>
  <c r="F45" i="1"/>
  <c r="G45" i="1" s="1"/>
  <c r="B38" i="1"/>
  <c r="F54" i="1"/>
  <c r="G54" i="1" s="1"/>
  <c r="B54" i="1" s="1"/>
  <c r="B28" i="1"/>
  <c r="F44" i="1"/>
  <c r="G44" i="1" s="1"/>
  <c r="B27" i="1"/>
  <c r="F43" i="1"/>
  <c r="G43" i="1" s="1"/>
  <c r="B37" i="1"/>
  <c r="F53" i="1"/>
  <c r="G53" i="1" s="1"/>
  <c r="B53" i="1" s="1"/>
  <c r="B36" i="1"/>
  <c r="F52" i="1"/>
  <c r="G52" i="1" s="1"/>
  <c r="B52" i="1" s="1"/>
  <c r="B35" i="1"/>
  <c r="F51" i="1"/>
  <c r="G51" i="1" s="1"/>
  <c r="B51" i="1" s="1"/>
  <c r="I29" i="1"/>
  <c r="I28" i="1"/>
  <c r="I27" i="1"/>
  <c r="I37" i="1"/>
  <c r="I36" i="1"/>
  <c r="I35" i="1"/>
  <c r="I34" i="1"/>
  <c r="I33" i="1"/>
  <c r="I32" i="1"/>
  <c r="I31" i="1"/>
  <c r="I30" i="1"/>
  <c r="I38" i="1"/>
  <c r="C6" i="4"/>
  <c r="F26" i="1"/>
  <c r="D6" i="4"/>
  <c r="L7" i="1"/>
  <c r="F5" i="1"/>
  <c r="H32" i="1"/>
  <c r="H31" i="1"/>
  <c r="H30" i="1"/>
  <c r="H29" i="1"/>
  <c r="H28" i="1"/>
  <c r="H27" i="1"/>
  <c r="H38" i="1"/>
  <c r="H37" i="1"/>
  <c r="H36" i="1"/>
  <c r="D91" i="1" l="1"/>
  <c r="D86" i="1"/>
  <c r="C86" i="1"/>
  <c r="C91" i="1"/>
  <c r="D92" i="1"/>
  <c r="C92" i="1"/>
  <c r="B44" i="1"/>
  <c r="B45" i="1"/>
  <c r="B46" i="1"/>
  <c r="B48" i="1"/>
  <c r="B43" i="1"/>
  <c r="B47" i="1"/>
  <c r="P44" i="1"/>
  <c r="B26" i="1"/>
  <c r="F42" i="1"/>
  <c r="G42" i="1" s="1"/>
  <c r="I26" i="1"/>
  <c r="A38" i="1"/>
  <c r="J38" i="1" s="1"/>
  <c r="L8" i="1"/>
  <c r="A92" i="1" s="1"/>
  <c r="J92" i="1" s="1"/>
  <c r="C38" i="1"/>
  <c r="D38" i="1"/>
  <c r="C28" i="1"/>
  <c r="D28" i="1"/>
  <c r="C29" i="1"/>
  <c r="D29" i="1"/>
  <c r="C31" i="1"/>
  <c r="D31" i="1"/>
  <c r="B42" i="1" l="1"/>
  <c r="L42" i="1" s="1" a="1"/>
  <c r="L42" i="1" s="1"/>
  <c r="H4" i="4" s="1"/>
  <c r="C36" i="1"/>
  <c r="L9" i="1"/>
  <c r="D37" i="1"/>
  <c r="D36" i="1"/>
  <c r="C37" i="1"/>
  <c r="P45" i="1"/>
  <c r="H35" i="1"/>
  <c r="D35" i="1" s="1"/>
  <c r="H34" i="1"/>
  <c r="H33" i="1"/>
  <c r="A28" i="1" l="1"/>
  <c r="J28" i="1" s="1"/>
  <c r="A90" i="1"/>
  <c r="J90" i="1" s="1"/>
  <c r="A83" i="1"/>
  <c r="J83" i="1" s="1"/>
  <c r="A84" i="1"/>
  <c r="J84" i="1" s="1"/>
  <c r="C82" i="1"/>
  <c r="D82" i="1"/>
  <c r="L50" i="1" a="1"/>
  <c r="L50" i="1" s="1"/>
  <c r="G7" i="4" s="1"/>
  <c r="L52" i="1" a="1"/>
  <c r="L52" i="1" s="1"/>
  <c r="G5" i="4" s="1"/>
  <c r="L49" i="1" a="1"/>
  <c r="L49" i="1" s="1"/>
  <c r="H7" i="4" s="1"/>
  <c r="C27" i="1"/>
  <c r="L43" i="1" a="1"/>
  <c r="L43" i="1" s="1"/>
  <c r="I4" i="4" s="1"/>
  <c r="L44" i="1" a="1"/>
  <c r="L44" i="1" s="1"/>
  <c r="J4" i="4" s="1"/>
  <c r="L46" i="1" a="1"/>
  <c r="L46" i="1" s="1"/>
  <c r="J6" i="4" s="1"/>
  <c r="L47" i="1" a="1"/>
  <c r="L47" i="1" s="1"/>
  <c r="J7" i="4" s="1"/>
  <c r="L53" i="1" a="1"/>
  <c r="L53" i="1" s="1"/>
  <c r="G4" i="4" s="1"/>
  <c r="L45" i="1" a="1"/>
  <c r="L45" i="1" s="1"/>
  <c r="J5" i="4" s="1"/>
  <c r="L48" i="1" a="1"/>
  <c r="L48" i="1" s="1"/>
  <c r="I7" i="4" s="1"/>
  <c r="L51" i="1" a="1"/>
  <c r="L51" i="1" s="1"/>
  <c r="G6" i="4" s="1"/>
  <c r="D27" i="1"/>
  <c r="L10" i="1"/>
  <c r="A35" i="1"/>
  <c r="J35" i="1" s="1"/>
  <c r="A29" i="1"/>
  <c r="J29" i="1" s="1"/>
  <c r="P46" i="1"/>
  <c r="C35" i="1"/>
  <c r="A37" i="1"/>
  <c r="J37" i="1" s="1"/>
  <c r="C34" i="1"/>
  <c r="D34" i="1"/>
  <c r="H26" i="1"/>
  <c r="L11" i="1" l="1"/>
  <c r="A81" i="1"/>
  <c r="J81" i="1" s="1"/>
  <c r="A87" i="1"/>
  <c r="J87" i="1" s="1"/>
  <c r="P47" i="1"/>
  <c r="L12" i="1"/>
  <c r="A82" i="1" s="1"/>
  <c r="J82" i="1" s="1"/>
  <c r="A33" i="1"/>
  <c r="J33" i="1" s="1"/>
  <c r="A34" i="1"/>
  <c r="J34" i="1" s="1"/>
  <c r="A27" i="1"/>
  <c r="J27" i="1" s="1"/>
  <c r="D32" i="1"/>
  <c r="C32" i="1"/>
  <c r="D26" i="1"/>
  <c r="C26" i="1"/>
  <c r="A26" i="1"/>
  <c r="J26" i="1" s="1"/>
  <c r="A31" i="1" l="1"/>
  <c r="J31" i="1" s="1"/>
  <c r="A88" i="1"/>
  <c r="J88" i="1" s="1"/>
  <c r="A86" i="1"/>
  <c r="J86" i="1" s="1"/>
  <c r="A89" i="1"/>
  <c r="J89" i="1" s="1"/>
  <c r="P48" i="1"/>
  <c r="A32" i="1"/>
  <c r="J32" i="1" s="1"/>
  <c r="L13" i="1"/>
  <c r="L14" i="1" s="1"/>
  <c r="A91" i="1" l="1"/>
  <c r="J91" i="1" s="1"/>
  <c r="A85" i="1"/>
  <c r="J85" i="1" s="1"/>
  <c r="A30" i="1"/>
  <c r="J30" i="1" s="1"/>
  <c r="A36" i="1"/>
  <c r="J36" i="1" s="1"/>
  <c r="P49" i="1"/>
  <c r="L88" i="1" l="1" a="1"/>
  <c r="L88" i="1" s="1"/>
  <c r="M7" i="4" s="1"/>
  <c r="L89" i="1" a="1"/>
  <c r="L89" i="1" s="1"/>
  <c r="L7" i="4" s="1"/>
  <c r="L86" i="1" a="1"/>
  <c r="L86" i="1" s="1"/>
  <c r="O7" i="4" s="1"/>
  <c r="L92" i="1" a="1"/>
  <c r="L92" i="1" s="1"/>
  <c r="L4" i="4" s="1"/>
  <c r="L82" i="1" a="1"/>
  <c r="L82" i="1" s="1"/>
  <c r="N4" i="4" s="1"/>
  <c r="L83" i="1" a="1"/>
  <c r="L83" i="1" s="1"/>
  <c r="O4" i="4" s="1"/>
  <c r="L90" i="1" a="1"/>
  <c r="L90" i="1" s="1"/>
  <c r="L6" i="4" s="1"/>
  <c r="L85" i="1" a="1"/>
  <c r="L85" i="1" s="1"/>
  <c r="O6" i="4" s="1"/>
  <c r="L84" i="1" a="1"/>
  <c r="L84" i="1" s="1"/>
  <c r="O5" i="4" s="1"/>
  <c r="L91" i="1" a="1"/>
  <c r="L91" i="1" s="1"/>
  <c r="L5" i="4" s="1"/>
  <c r="L81" i="1" a="1"/>
  <c r="L81" i="1" s="1"/>
  <c r="M4" i="4" s="1"/>
  <c r="L87" i="1" a="1"/>
  <c r="L87" i="1" s="1"/>
  <c r="N7" i="4" s="1"/>
  <c r="L26" i="1" a="1"/>
  <c r="L26" i="1" s="1"/>
  <c r="C4" i="4" s="1"/>
  <c r="L33" i="1" a="1"/>
  <c r="L33" i="1" s="1"/>
  <c r="C7" i="4" s="1"/>
  <c r="L28" i="1" a="1"/>
  <c r="L28" i="1" s="1"/>
  <c r="E4" i="4" s="1"/>
  <c r="L32" i="1" a="1"/>
  <c r="L32" i="1" s="1"/>
  <c r="D7" i="4" s="1"/>
  <c r="L31" i="1" a="1"/>
  <c r="L31" i="1" s="1"/>
  <c r="E7" i="4" s="1"/>
  <c r="L34" i="1" a="1"/>
  <c r="L34" i="1" s="1"/>
  <c r="B7" i="4" s="1"/>
  <c r="L37" i="1" a="1"/>
  <c r="L37" i="1" s="1"/>
  <c r="B4" i="4" s="1"/>
  <c r="L36" i="1" a="1"/>
  <c r="L36" i="1" s="1"/>
  <c r="B5" i="4" s="1"/>
  <c r="L27" i="1" a="1"/>
  <c r="L27" i="1" s="1"/>
  <c r="D4" i="4" s="1"/>
  <c r="L29" i="1" a="1"/>
  <c r="L29" i="1" s="1"/>
  <c r="E5" i="4" s="1"/>
  <c r="L30" i="1" a="1"/>
  <c r="L30" i="1" s="1"/>
  <c r="E6" i="4" s="1"/>
  <c r="L35" i="1" a="1"/>
  <c r="L35" i="1" s="1"/>
  <c r="B6" i="4" s="1"/>
  <c r="P50" i="1"/>
  <c r="D33" i="1" l="1"/>
  <c r="C33" i="1"/>
  <c r="P51" i="1"/>
  <c r="D85" i="1" l="1"/>
  <c r="C85" i="1"/>
  <c r="C88" i="1"/>
  <c r="D88" i="1"/>
  <c r="C30" i="1"/>
  <c r="D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<sst xmlns="http://schemas.openxmlformats.org/spreadsheetml/2006/main" count="263" uniqueCount="139">
  <si>
    <t>Venus</t>
  </si>
  <si>
    <t>Sun</t>
  </si>
  <si>
    <t>Moon</t>
  </si>
  <si>
    <t>Mars</t>
  </si>
  <si>
    <t>Mercury</t>
  </si>
  <si>
    <t>Jupiter</t>
  </si>
  <si>
    <t>Saturn</t>
  </si>
  <si>
    <t>Rahu</t>
  </si>
  <si>
    <t>Ketu</t>
  </si>
  <si>
    <t>Logn</t>
  </si>
  <si>
    <t>Lat</t>
  </si>
  <si>
    <t>Time Zone</t>
  </si>
  <si>
    <t>Uranus</t>
  </si>
  <si>
    <t>Neptune</t>
  </si>
  <si>
    <t>Pluto</t>
  </si>
  <si>
    <t>Degrees</t>
  </si>
  <si>
    <t>Ashwini</t>
  </si>
  <si>
    <t>Bharani</t>
  </si>
  <si>
    <t>Rohini</t>
  </si>
  <si>
    <t>Punarvasu</t>
  </si>
  <si>
    <t>Pushya</t>
  </si>
  <si>
    <t>Ashlesha</t>
  </si>
  <si>
    <t>Hasta</t>
  </si>
  <si>
    <t>Shravana</t>
  </si>
  <si>
    <t>Dhanishta</t>
  </si>
  <si>
    <t>Shatabhisha</t>
  </si>
  <si>
    <t>Revati</t>
  </si>
  <si>
    <t>Anuraadha</t>
  </si>
  <si>
    <t>Arudra</t>
  </si>
  <si>
    <t>Chittaa</t>
  </si>
  <si>
    <t>Jyesthaa</t>
  </si>
  <si>
    <t>Kritika</t>
  </si>
  <si>
    <t>Maghaa</t>
  </si>
  <si>
    <t>Moolaa</t>
  </si>
  <si>
    <t>Mrigasiraa</t>
  </si>
  <si>
    <t>Poorvashaadha</t>
  </si>
  <si>
    <t>Poorvabhadraa</t>
  </si>
  <si>
    <t>Pubba</t>
  </si>
  <si>
    <t>Swaati</t>
  </si>
  <si>
    <t>Uttarashaadha</t>
  </si>
  <si>
    <t>Uttaraa bhadra</t>
  </si>
  <si>
    <t>Uttara</t>
  </si>
  <si>
    <t>Vishaakha</t>
  </si>
  <si>
    <t>Nakshatra</t>
  </si>
  <si>
    <t>Padam</t>
  </si>
  <si>
    <t>Date</t>
  </si>
  <si>
    <t>Time</t>
  </si>
  <si>
    <t>Lognitude</t>
  </si>
  <si>
    <t>Latitude</t>
  </si>
  <si>
    <t>Ascendant</t>
  </si>
  <si>
    <t>Name</t>
  </si>
  <si>
    <t>Gender</t>
  </si>
  <si>
    <t>City</t>
  </si>
  <si>
    <t>State</t>
  </si>
  <si>
    <t>Country</t>
  </si>
  <si>
    <t>Male</t>
  </si>
  <si>
    <t>India</t>
  </si>
  <si>
    <t>Ghaziabad</t>
  </si>
  <si>
    <t>Uttar Pradesh</t>
  </si>
  <si>
    <t>Zodiac Sign</t>
  </si>
  <si>
    <t>Horoscope</t>
  </si>
  <si>
    <t>Gemini\Midhuna</t>
  </si>
  <si>
    <t>Cancer\Karkaataka</t>
  </si>
  <si>
    <t>Leo\Simham</t>
  </si>
  <si>
    <t>Virgo\Kanya</t>
  </si>
  <si>
    <t>Libra\Tula</t>
  </si>
  <si>
    <t>Scorpio\Vrushikam</t>
  </si>
  <si>
    <t>Saggitarius\Dhanassu</t>
  </si>
  <si>
    <t>Capricorn\Makara</t>
  </si>
  <si>
    <t>Acquarious\Kumbha</t>
  </si>
  <si>
    <t>Pieces\Meena</t>
  </si>
  <si>
    <t>Time zone</t>
  </si>
  <si>
    <t>Sun-Ascendant Distance</t>
  </si>
  <si>
    <t>Moon-Ascendant Distance</t>
  </si>
  <si>
    <t>Mars-Ascendant Distance</t>
  </si>
  <si>
    <t>Mercury-Ascendant Distance</t>
  </si>
  <si>
    <t>Jupiter-Ascendant Distance</t>
  </si>
  <si>
    <t>Venus-Ascendant Distance</t>
  </si>
  <si>
    <t>Saturn-Ascendant Distance</t>
  </si>
  <si>
    <t>Uranus-Ascendant Distance</t>
  </si>
  <si>
    <t>Neptune-Ascendant Distance</t>
  </si>
  <si>
    <t>Pluto-Ascendant Distance</t>
  </si>
  <si>
    <t>Rahu-Ascendant Distance</t>
  </si>
  <si>
    <t>Ketu-Ascendant Distance</t>
  </si>
  <si>
    <t>Moon-Sun Distance</t>
  </si>
  <si>
    <t>Rahu-Ketu Distance</t>
  </si>
  <si>
    <t>Ketu: 179.098690</t>
  </si>
  <si>
    <t>Navamsa</t>
  </si>
  <si>
    <t>Ra</t>
  </si>
  <si>
    <t>Su</t>
  </si>
  <si>
    <t>Mo</t>
  </si>
  <si>
    <t>Ma</t>
  </si>
  <si>
    <t>Me</t>
  </si>
  <si>
    <t>Ju</t>
  </si>
  <si>
    <t>Ve</t>
  </si>
  <si>
    <t>Sa</t>
  </si>
  <si>
    <t>Ur</t>
  </si>
  <si>
    <t>Ne</t>
  </si>
  <si>
    <t>Pl</t>
  </si>
  <si>
    <t>Ke</t>
  </si>
  <si>
    <t>As</t>
  </si>
  <si>
    <t>Aries\Mesha</t>
  </si>
  <si>
    <t>Taurus\Vrushaba</t>
  </si>
  <si>
    <t>Transit</t>
  </si>
  <si>
    <t>Transit on</t>
  </si>
  <si>
    <t>Transit Macro Output</t>
  </si>
  <si>
    <t>Distances in AU</t>
  </si>
  <si>
    <t>Distance in AU</t>
  </si>
  <si>
    <t>Famous Indian Astrologer</t>
  </si>
  <si>
    <t>Notes</t>
  </si>
  <si>
    <t>Here you will see the points noted about the client</t>
  </si>
  <si>
    <t>XX</t>
  </si>
  <si>
    <t>Ascendant: 163.081675</t>
  </si>
  <si>
    <t>Sun: 20.731783</t>
  </si>
  <si>
    <t>Moon: 103.451067</t>
  </si>
  <si>
    <t>Mercury: 18.365625</t>
  </si>
  <si>
    <t>Venus: 351.732432</t>
  </si>
  <si>
    <t>Mars: 56.061208</t>
  </si>
  <si>
    <t>Jupiter: 351.471994</t>
  </si>
  <si>
    <t>Saturn: 236.510136</t>
  </si>
  <si>
    <t>Uranus: 242.568871</t>
  </si>
  <si>
    <t>Neptune: 254.152439</t>
  </si>
  <si>
    <t>Pluto: 194.736859</t>
  </si>
  <si>
    <t>Rahu: 346.225828</t>
  </si>
  <si>
    <t>Ketu: 166.225828</t>
  </si>
  <si>
    <t>Updated for XX</t>
  </si>
  <si>
    <t>Ascendant: 146.057268</t>
  </si>
  <si>
    <t>Sun: 2.471061</t>
  </si>
  <si>
    <t>Moon: 219.684197</t>
  </si>
  <si>
    <t>Mercury: 335.904442</t>
  </si>
  <si>
    <t>Venus: 330.638834</t>
  </si>
  <si>
    <t>Mars: 95.076236</t>
  </si>
  <si>
    <t>Jupiter: 54.372089</t>
  </si>
  <si>
    <t>Saturn: 332.077351</t>
  </si>
  <si>
    <t>Uranus: 31.308778</t>
  </si>
  <si>
    <t>Neptune: 336.405128</t>
  </si>
  <si>
    <t>Pluto: 279.529697</t>
  </si>
  <si>
    <t>Rahu: 331.703757</t>
  </si>
  <si>
    <t>Ketu: 151.703757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</si>
</sst>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 * #,##0.000_ ;_ * \-#,##0.000_ ;_ * &quot;-&quot;??_ ;_ @_ "/>
    <numFmt numFmtId="165" formatCode="[$-F400]h:mm:ss\ AM/PM"/>
    <numFmt numFmtId="166" formatCode="0.00000"/>
    <numFmt numFmtId="167" formatCode="0.0000000"/>
    <numFmt numFmtId="168" formatCode="0.000000000000000000"/>
    <numFmt numFmtId="169" formatCode="[$-14009]hh:mm:ss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 style="medium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right"/>
    </xf>
    <xf numFmtId="2" fontId="0" fillId="0" borderId="0" xfId="1" applyNumberFormat="1" applyFont="1" applyAlignment="1">
      <alignment horizontal="right"/>
    </xf>
    <xf numFmtId="165" fontId="0" fillId="0" borderId="0" xfId="0" applyNumberFormat="1"/>
    <xf numFmtId="168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/>
    <xf numFmtId="2" fontId="0" fillId="0" borderId="0" xfId="1" applyNumberFormat="1" applyFont="1"/>
    <xf numFmtId="0" fontId="4" fillId="0" borderId="3" xfId="0" applyFont="1" applyBorder="1" applyAlignment="1">
      <alignment horizontal="center"/>
    </xf>
    <xf numFmtId="14" fontId="4" fillId="0" borderId="3" xfId="0" applyNumberFormat="1" applyFont="1" applyBorder="1" applyAlignment="1">
      <alignment horizontal="center"/>
    </xf>
    <xf numFmtId="14" fontId="4" fillId="0" borderId="4" xfId="0" applyNumberFormat="1" applyFont="1" applyBorder="1" applyAlignment="1">
      <alignment horizontal="center"/>
    </xf>
    <xf numFmtId="43" fontId="0" fillId="0" borderId="0" xfId="1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0" fillId="0" borderId="5" xfId="0" applyBorder="1"/>
    <xf numFmtId="14" fontId="0" fillId="0" borderId="5" xfId="0" applyNumberFormat="1" applyBorder="1"/>
    <xf numFmtId="169" fontId="0" fillId="0" borderId="5" xfId="0" applyNumberFormat="1" applyBorder="1" applyAlignment="1">
      <alignment horizontal="center"/>
    </xf>
    <xf numFmtId="167" fontId="0" fillId="0" borderId="5" xfId="0" applyNumberFormat="1" applyBorder="1"/>
    <xf numFmtId="0" fontId="7" fillId="3" borderId="5" xfId="0" applyFont="1" applyFill="1" applyBorder="1" applyAlignment="1">
      <alignment horizontal="center"/>
    </xf>
    <xf numFmtId="14" fontId="7" fillId="3" borderId="5" xfId="0" applyNumberFormat="1" applyFont="1" applyFill="1" applyBorder="1" applyAlignment="1">
      <alignment horizontal="center"/>
    </xf>
    <xf numFmtId="169" fontId="7" fillId="3" borderId="5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0" borderId="0" xfId="0" applyNumberFormat="1"/>
    <xf numFmtId="14" fontId="9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3" fontId="0" fillId="0" borderId="13" xfId="1" applyFont="1" applyBorder="1"/>
    <xf numFmtId="164" fontId="0" fillId="0" borderId="13" xfId="1" applyNumberFormat="1" applyFont="1" applyBorder="1"/>
    <xf numFmtId="22" fontId="0" fillId="0" borderId="13" xfId="0" applyNumberFormat="1" applyBorder="1" applyAlignment="1">
      <alignment horizontal="center"/>
    </xf>
    <xf numFmtId="0" fontId="2" fillId="0" borderId="13" xfId="0" applyFont="1" applyBorder="1" applyAlignment="1">
      <alignment horizontal="center"/>
    </xf>
    <xf numFmtId="43" fontId="2" fillId="0" borderId="13" xfId="1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2" fontId="0" fillId="0" borderId="0" xfId="0" applyNumberFormat="1" applyAlignment="1">
      <alignment wrapText="1"/>
    </xf>
    <xf numFmtId="43" fontId="0" fillId="0" borderId="0" xfId="1" applyFont="1" applyBorder="1"/>
    <xf numFmtId="164" fontId="0" fillId="0" borderId="0" xfId="1" applyNumberFormat="1" applyFont="1" applyBorder="1"/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0" fillId="0" borderId="16" xfId="0" applyBorder="1"/>
    <xf numFmtId="14" fontId="0" fillId="0" borderId="0" xfId="0" applyNumberFormat="1" applyAlignment="1">
      <alignment horizontal="center"/>
    </xf>
    <xf numFmtId="20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3" fontId="0" fillId="0" borderId="0" xfId="0" applyNumberFormat="1"/>
    <xf numFmtId="2" fontId="0" fillId="0" borderId="0" xfId="1" applyNumberFormat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3" fillId="0" borderId="2" xfId="0" applyFont="1" applyBorder="1"/>
    <xf numFmtId="0" fontId="0" fillId="2" borderId="5" xfId="0" applyFill="1" applyBorder="1"/>
    <xf numFmtId="0" fontId="3" fillId="2" borderId="20" xfId="0" applyFont="1" applyFill="1" applyBorder="1"/>
    <xf numFmtId="14" fontId="3" fillId="5" borderId="20" xfId="0" applyNumberFormat="1" applyFont="1" applyFill="1" applyBorder="1"/>
    <xf numFmtId="165" fontId="3" fillId="5" borderId="20" xfId="0" applyNumberFormat="1" applyFont="1" applyFill="1" applyBorder="1"/>
    <xf numFmtId="0" fontId="7" fillId="3" borderId="21" xfId="0" applyFont="1" applyFill="1" applyBorder="1" applyAlignment="1">
      <alignment horizontal="left" vertical="top" wrapText="1"/>
    </xf>
    <xf numFmtId="0" fontId="7" fillId="3" borderId="22" xfId="0" applyFont="1" applyFill="1" applyBorder="1" applyAlignment="1">
      <alignment horizontal="left" vertical="top" wrapText="1"/>
    </xf>
    <xf numFmtId="0" fontId="7" fillId="3" borderId="23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188259</xdr:colOff>
      <xdr:row>0</xdr:row>
      <xdr:rowOff>143435</xdr:rowOff>
    </xdr:from>
    <xdr:to>
      <xdr:col>1</xdr:col>
      <xdr:colOff>1057836</xdr:colOff>
      <xdr:row>2</xdr:row>
      <xdr:rowOff>53788</xdr:rowOff>
    </xdr:to>
    <xdr:sp macro="[0]!Sheet1.GetHoroSco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03B7E1-7778-42B3-9503-50B9C8249180}"/>
            </a:ext>
          </a:extLst>
        </xdr:cNvPr>
        <xdr:cNvSpPr/>
      </xdr:nvSpPr>
      <xdr:spPr>
        <a:xfrm>
          <a:off x="1057835" y="143435"/>
          <a:ext cx="869577" cy="26894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92345-81A1-4D08-A516-1A0B37E48195}">
  <sheetPr codeName="Sheet1"/>
  <dimension ref="A1:S93"/>
  <sheetViews>
    <sheetView zoomScale="85" zoomScaleNormal="85" workbookViewId="0">
      <selection activeCell="G81" sqref="G81:G92"/>
    </sheetView>
  </sheetViews>
  <sheetFormatPr defaultRowHeight="14.4" x14ac:dyDescent="0.3"/>
  <cols>
    <col min="1" max="1" width="11.5546875" customWidth="1"/>
    <col min="2" max="2" width="18.109375" bestFit="1" customWidth="1"/>
    <col min="3" max="3" width="17.21875" bestFit="1" customWidth="1"/>
    <col min="4" max="4" width="8.88671875" style="2"/>
    <col min="5" max="5" width="9.77734375" style="3" bestFit="1" customWidth="1"/>
    <col min="6" max="6" width="17.5546875" bestFit="1" customWidth="1"/>
    <col min="7" max="7" width="14.6640625" bestFit="1" customWidth="1"/>
    <col min="8" max="8" width="17.6640625" bestFit="1" customWidth="1"/>
    <col min="9" max="9" width="8.21875" style="2" bestFit="1" customWidth="1"/>
    <col min="10" max="10" width="9.88671875" bestFit="1" customWidth="1"/>
    <col min="11" max="11" width="19.6640625" bestFit="1" customWidth="1"/>
    <col min="17" max="17" width="14" bestFit="1" customWidth="1"/>
  </cols>
  <sheetData>
    <row r="1" spans="1:14" ht="15" thickBot="1" x14ac:dyDescent="0.35">
      <c r="C1" s="17"/>
      <c r="D1" s="3"/>
      <c r="E1"/>
      <c r="F1" s="1"/>
      <c r="H1" s="2"/>
      <c r="I1"/>
    </row>
    <row r="2" spans="1:14" x14ac:dyDescent="0.3">
      <c r="A2" s="33"/>
      <c r="B2" s="34"/>
      <c r="C2" s="35"/>
      <c r="D2" s="36"/>
      <c r="E2" s="34"/>
      <c r="F2" s="37"/>
      <c r="G2" s="38" t="s">
        <v>15</v>
      </c>
      <c r="H2" s="39" t="s">
        <v>106</v>
      </c>
      <c r="I2" s="34"/>
      <c r="J2" s="34"/>
      <c r="K2" s="34"/>
      <c r="L2" s="34"/>
      <c r="M2" s="40"/>
    </row>
    <row r="3" spans="1:14" x14ac:dyDescent="0.3">
      <c r="A3" s="41" t="s">
        <v>72</v>
      </c>
      <c r="B3" s="42">
        <v>142.34989999999999</v>
      </c>
      <c r="C3" s="43" t="s">
        <v>112</v>
      </c>
      <c r="D3" s="44" t="s">
        <v>1</v>
      </c>
      <c r="E3"/>
      <c r="F3" s="45"/>
      <c r="G3" s="46">
        <f>--_xlfn.NUMBERVALUE(MID(C4,SEARCH(":",C4)+1,LEN(C4)))*1</f>
        <v>20.731783</v>
      </c>
      <c r="H3" s="43">
        <f>B3</f>
        <v>142.34989999999999</v>
      </c>
      <c r="I3"/>
      <c r="J3">
        <v>1</v>
      </c>
      <c r="K3" t="s">
        <v>101</v>
      </c>
      <c r="L3">
        <v>0</v>
      </c>
      <c r="M3" s="47"/>
      <c r="N3" s="18"/>
    </row>
    <row r="4" spans="1:14" x14ac:dyDescent="0.3">
      <c r="A4" s="41" t="s">
        <v>73</v>
      </c>
      <c r="B4" s="18">
        <v>59.630600000000001</v>
      </c>
      <c r="C4" s="43" t="s">
        <v>113</v>
      </c>
      <c r="D4" s="44" t="s">
        <v>2</v>
      </c>
      <c r="E4"/>
      <c r="F4" s="1"/>
      <c r="G4" s="46">
        <f>--_xlfn.NUMBERVALUE(MID(C5,SEARCH(":",C5)+1,LEN(C5)))*1</f>
        <v>103.45106699999999</v>
      </c>
      <c r="H4" s="43">
        <f t="shared" ref="H4:H14" si="0">B4</f>
        <v>59.630600000000001</v>
      </c>
      <c r="I4"/>
      <c r="J4">
        <v>2</v>
      </c>
      <c r="K4" t="s">
        <v>102</v>
      </c>
      <c r="L4">
        <f>L3+30</f>
        <v>30</v>
      </c>
      <c r="M4" s="47"/>
      <c r="N4" s="18"/>
    </row>
    <row r="5" spans="1:14" x14ac:dyDescent="0.3">
      <c r="A5" s="41" t="s">
        <v>74</v>
      </c>
      <c r="B5" s="18">
        <v>107.0205</v>
      </c>
      <c r="C5" s="43" t="s">
        <v>114</v>
      </c>
      <c r="D5" s="44" t="s">
        <v>3</v>
      </c>
      <c r="E5"/>
      <c r="F5" s="48">
        <f>F19</f>
        <v>31171</v>
      </c>
      <c r="G5" s="46">
        <f>--_xlfn.NUMBERVALUE(MID(C8,SEARCH(":",C8)+1,LEN(C8)))*1</f>
        <v>56.061208000000001</v>
      </c>
      <c r="H5" s="43">
        <f t="shared" si="0"/>
        <v>107.0205</v>
      </c>
      <c r="I5" s="49"/>
      <c r="J5">
        <v>3</v>
      </c>
      <c r="K5" t="s">
        <v>61</v>
      </c>
      <c r="L5">
        <f t="shared" ref="L5:L14" si="1">L4+30</f>
        <v>60</v>
      </c>
      <c r="M5" s="47"/>
      <c r="N5" s="18"/>
    </row>
    <row r="6" spans="1:14" x14ac:dyDescent="0.3">
      <c r="A6" s="41" t="s">
        <v>75</v>
      </c>
      <c r="B6" s="18">
        <v>144.71600000000001</v>
      </c>
      <c r="C6" s="43" t="s">
        <v>115</v>
      </c>
      <c r="D6" s="44" t="s">
        <v>4</v>
      </c>
      <c r="E6"/>
      <c r="F6" s="50" t="str">
        <f>G19</f>
        <v>11:33:38</v>
      </c>
      <c r="G6" s="46">
        <f>--_xlfn.NUMBERVALUE(MID(C6,SEARCH(":",C6)+1,LEN(C6)))*1</f>
        <v>18.365625000000001</v>
      </c>
      <c r="H6" s="43">
        <f t="shared" si="0"/>
        <v>144.71600000000001</v>
      </c>
      <c r="I6"/>
      <c r="J6">
        <v>4</v>
      </c>
      <c r="K6" t="s">
        <v>62</v>
      </c>
      <c r="L6">
        <f t="shared" si="1"/>
        <v>90</v>
      </c>
      <c r="M6" s="47"/>
      <c r="N6" s="18"/>
    </row>
    <row r="7" spans="1:14" x14ac:dyDescent="0.3">
      <c r="A7" s="41" t="s">
        <v>76</v>
      </c>
      <c r="B7" s="18">
        <v>171.6097</v>
      </c>
      <c r="C7" s="43" t="s">
        <v>116</v>
      </c>
      <c r="D7" s="44" t="s">
        <v>5</v>
      </c>
      <c r="E7" t="s">
        <v>9</v>
      </c>
      <c r="F7" s="51">
        <f>-F20</f>
        <v>77.416700000000006</v>
      </c>
      <c r="G7" s="46">
        <f>--_xlfn.NUMBERVALUE(MID(C9,SEARCH(":",C9)+1,LEN(C9)))*1</f>
        <v>351.471994</v>
      </c>
      <c r="H7" s="43">
        <f t="shared" si="0"/>
        <v>171.6097</v>
      </c>
      <c r="I7"/>
      <c r="J7">
        <v>5</v>
      </c>
      <c r="K7" t="s">
        <v>63</v>
      </c>
      <c r="L7">
        <f t="shared" si="1"/>
        <v>120</v>
      </c>
      <c r="M7" s="47"/>
      <c r="N7" s="18"/>
    </row>
    <row r="8" spans="1:14" x14ac:dyDescent="0.3">
      <c r="A8" s="41" t="s">
        <v>77</v>
      </c>
      <c r="B8" s="42">
        <v>171.3492</v>
      </c>
      <c r="C8" s="43" t="s">
        <v>117</v>
      </c>
      <c r="D8" s="44" t="s">
        <v>0</v>
      </c>
      <c r="E8" t="s">
        <v>10</v>
      </c>
      <c r="F8" s="51">
        <f>Sheet1!G20</f>
        <v>28.75</v>
      </c>
      <c r="G8" s="46">
        <f>--_xlfn.NUMBERVALUE(MID(C7,SEARCH(":",C7)+1,LEN(C7)))*1</f>
        <v>351.73243200000002</v>
      </c>
      <c r="H8" s="43">
        <f t="shared" si="0"/>
        <v>171.3492</v>
      </c>
      <c r="I8"/>
      <c r="J8">
        <v>6</v>
      </c>
      <c r="K8" t="s">
        <v>64</v>
      </c>
      <c r="L8">
        <f t="shared" si="1"/>
        <v>150</v>
      </c>
      <c r="M8" s="47"/>
      <c r="N8" s="18"/>
    </row>
    <row r="9" spans="1:14" x14ac:dyDescent="0.3">
      <c r="A9" s="41" t="s">
        <v>78</v>
      </c>
      <c r="B9" s="18">
        <v>73.4285</v>
      </c>
      <c r="C9" s="43" t="s">
        <v>118</v>
      </c>
      <c r="D9" s="44" t="s">
        <v>6</v>
      </c>
      <c r="E9" t="s">
        <v>71</v>
      </c>
      <c r="F9" s="50">
        <f>-VLOOKUP(Horoscope!C5,Data!A:J,7,0)</f>
        <v>5.5</v>
      </c>
      <c r="G9" s="46">
        <f t="shared" ref="G9:G14" si="2">--_xlfn.NUMBERVALUE(MID(C10,SEARCH(":",C10)+1,LEN(C10)))*1</f>
        <v>236.51013599999999</v>
      </c>
      <c r="H9" s="43">
        <f t="shared" si="0"/>
        <v>73.4285</v>
      </c>
      <c r="I9"/>
      <c r="J9">
        <v>7</v>
      </c>
      <c r="K9" t="s">
        <v>65</v>
      </c>
      <c r="L9">
        <f t="shared" si="1"/>
        <v>180</v>
      </c>
      <c r="M9" s="47"/>
      <c r="N9" s="18"/>
    </row>
    <row r="10" spans="1:14" x14ac:dyDescent="0.3">
      <c r="A10" s="41" t="s">
        <v>79</v>
      </c>
      <c r="B10" s="18">
        <v>79.487200000000001</v>
      </c>
      <c r="C10" s="43" t="s">
        <v>119</v>
      </c>
      <c r="D10" s="44" t="s">
        <v>12</v>
      </c>
      <c r="E10"/>
      <c r="F10" s="1"/>
      <c r="G10" s="46">
        <f t="shared" si="2"/>
        <v>242.568871</v>
      </c>
      <c r="H10" s="43">
        <f t="shared" si="0"/>
        <v>79.487200000000001</v>
      </c>
      <c r="I10"/>
      <c r="J10">
        <v>8</v>
      </c>
      <c r="K10" t="s">
        <v>66</v>
      </c>
      <c r="L10">
        <f t="shared" si="1"/>
        <v>210</v>
      </c>
      <c r="M10" s="47"/>
      <c r="N10" s="18"/>
    </row>
    <row r="11" spans="1:14" x14ac:dyDescent="0.3">
      <c r="A11" s="41" t="s">
        <v>80</v>
      </c>
      <c r="B11" s="18">
        <v>91.070800000000006</v>
      </c>
      <c r="C11" s="43" t="s">
        <v>120</v>
      </c>
      <c r="D11" s="44" t="s">
        <v>13</v>
      </c>
      <c r="E11"/>
      <c r="F11" s="1"/>
      <c r="G11" s="46">
        <f t="shared" si="2"/>
        <v>254.15243899999999</v>
      </c>
      <c r="H11" s="43">
        <f t="shared" si="0"/>
        <v>91.070800000000006</v>
      </c>
      <c r="I11"/>
      <c r="J11">
        <v>9</v>
      </c>
      <c r="K11" t="s">
        <v>67</v>
      </c>
      <c r="L11">
        <f t="shared" si="1"/>
        <v>240</v>
      </c>
      <c r="M11" s="47"/>
      <c r="N11" s="18"/>
    </row>
    <row r="12" spans="1:14" x14ac:dyDescent="0.3">
      <c r="A12" s="41" t="s">
        <v>81</v>
      </c>
      <c r="B12" s="18">
        <v>31.655200000000001</v>
      </c>
      <c r="C12" s="43" t="s">
        <v>121</v>
      </c>
      <c r="D12" s="44" t="s">
        <v>14</v>
      </c>
      <c r="E12"/>
      <c r="F12" s="1"/>
      <c r="G12" s="46">
        <f t="shared" si="2"/>
        <v>194.73685900000001</v>
      </c>
      <c r="H12" s="43">
        <f t="shared" si="0"/>
        <v>31.655200000000001</v>
      </c>
      <c r="I12"/>
      <c r="J12">
        <v>10</v>
      </c>
      <c r="K12" t="s">
        <v>68</v>
      </c>
      <c r="L12">
        <f t="shared" si="1"/>
        <v>270</v>
      </c>
      <c r="M12" s="47"/>
      <c r="N12" s="18"/>
    </row>
    <row r="13" spans="1:14" x14ac:dyDescent="0.3">
      <c r="A13" s="41" t="s">
        <v>82</v>
      </c>
      <c r="B13" s="18">
        <v>176.85579999999999</v>
      </c>
      <c r="C13" s="43" t="s">
        <v>122</v>
      </c>
      <c r="D13" s="44" t="s">
        <v>7</v>
      </c>
      <c r="E13"/>
      <c r="G13" s="46">
        <f t="shared" si="2"/>
        <v>346.22582799999998</v>
      </c>
      <c r="H13" s="43">
        <f t="shared" si="0"/>
        <v>176.85579999999999</v>
      </c>
      <c r="I13"/>
      <c r="J13">
        <v>11</v>
      </c>
      <c r="K13" t="s">
        <v>69</v>
      </c>
      <c r="L13">
        <f t="shared" si="1"/>
        <v>300</v>
      </c>
      <c r="M13" s="47"/>
      <c r="N13" s="18"/>
    </row>
    <row r="14" spans="1:14" x14ac:dyDescent="0.3">
      <c r="A14" s="41" t="s">
        <v>83</v>
      </c>
      <c r="B14" s="18">
        <v>3.1442000000000001</v>
      </c>
      <c r="C14" s="43" t="s">
        <v>123</v>
      </c>
      <c r="D14" s="44" t="s">
        <v>8</v>
      </c>
      <c r="E14"/>
      <c r="G14" s="46">
        <f t="shared" si="2"/>
        <v>166.22582800000001</v>
      </c>
      <c r="H14" s="43">
        <f t="shared" si="0"/>
        <v>3.1442000000000001</v>
      </c>
      <c r="I14"/>
      <c r="J14">
        <v>12</v>
      </c>
      <c r="K14" t="s">
        <v>70</v>
      </c>
      <c r="L14">
        <f t="shared" si="1"/>
        <v>330</v>
      </c>
      <c r="M14" s="47"/>
      <c r="N14" s="18"/>
    </row>
    <row r="15" spans="1:14" x14ac:dyDescent="0.3">
      <c r="A15" s="41" t="s">
        <v>84</v>
      </c>
      <c r="B15" s="18">
        <v>82.719300000000004</v>
      </c>
      <c r="C15" s="43" t="s">
        <v>124</v>
      </c>
      <c r="D15" s="44" t="s">
        <v>49</v>
      </c>
      <c r="E15"/>
      <c r="F15" s="43"/>
      <c r="G15" s="46">
        <f>--_xlfn.NUMBERVALUE(MID(C3,SEARCH(":",C3)+1,LEN(C3)))*1</f>
        <v>163.08167499999999</v>
      </c>
      <c r="H15" s="43"/>
      <c r="I15"/>
      <c r="M15" s="47"/>
      <c r="N15" s="18"/>
    </row>
    <row r="16" spans="1:14" x14ac:dyDescent="0.3">
      <c r="A16" s="41" t="s">
        <v>85</v>
      </c>
      <c r="B16">
        <v>180</v>
      </c>
      <c r="C16" s="43" t="s">
        <v>86</v>
      </c>
      <c r="D16" s="44"/>
      <c r="E16"/>
      <c r="F16" s="44"/>
      <c r="H16" s="43"/>
      <c r="I16"/>
      <c r="M16" s="47"/>
    </row>
    <row r="17" spans="1:19" x14ac:dyDescent="0.3">
      <c r="A17" s="41"/>
      <c r="C17" s="43"/>
      <c r="D17" s="44"/>
      <c r="E17"/>
      <c r="F17" s="44"/>
      <c r="H17" s="43"/>
      <c r="I17" s="43"/>
      <c r="J17" s="52"/>
      <c r="M17" s="47"/>
    </row>
    <row r="18" spans="1:19" ht="15" thickBot="1" x14ac:dyDescent="0.35">
      <c r="A18" s="41"/>
      <c r="B18" t="s">
        <v>52</v>
      </c>
      <c r="C18" s="43" t="str">
        <f>VLOOKUP(Horoscope!C5,Data!A:J,8,0)</f>
        <v>Ghaziabad</v>
      </c>
      <c r="D18" s="44"/>
      <c r="E18"/>
      <c r="F18" s="1"/>
      <c r="H18" s="43"/>
      <c r="I18"/>
      <c r="M18" s="47"/>
    </row>
    <row r="19" spans="1:19" ht="15" thickBot="1" x14ac:dyDescent="0.35">
      <c r="A19" s="41"/>
      <c r="B19" t="s">
        <v>53</v>
      </c>
      <c r="C19" s="43" t="str">
        <f>VLOOKUP(Horoscope!C5,Data!A:J,9,0)</f>
        <v>Uttar Pradesh</v>
      </c>
      <c r="D19" s="44"/>
      <c r="E19"/>
      <c r="F19" s="15">
        <f>VLOOKUP(Horoscope!C5,Data!A:F,3,0)</f>
        <v>31171</v>
      </c>
      <c r="G19" s="16" t="str">
        <f>TEXT(VLOOKUP(Horoscope!C5,Data!A:F,4,0),"HH:MM:SS")</f>
        <v>11:33:38</v>
      </c>
      <c r="H19" s="53"/>
      <c r="I19"/>
      <c r="J19" s="52"/>
      <c r="M19" s="47"/>
    </row>
    <row r="20" spans="1:19" ht="15" thickBot="1" x14ac:dyDescent="0.35">
      <c r="A20" s="41"/>
      <c r="B20" t="s">
        <v>54</v>
      </c>
      <c r="C20" s="43" t="str">
        <f>VLOOKUP(Horoscope!C5,Data!A:J,10,0)</f>
        <v>India</v>
      </c>
      <c r="D20" s="44"/>
      <c r="E20"/>
      <c r="F20" s="14">
        <f>ROUND(VLOOKUP(Horoscope!C5,Data!A:F,5,0),4)</f>
        <v>-77.416700000000006</v>
      </c>
      <c r="G20" s="10">
        <f>ROUND(VLOOKUP(Horoscope!C5,Data!A:F,6,0),4)</f>
        <v>28.75</v>
      </c>
      <c r="H20" s="43"/>
      <c r="I20"/>
      <c r="J20" s="18"/>
      <c r="M20" s="47"/>
    </row>
    <row r="21" spans="1:19" ht="15" thickBot="1" x14ac:dyDescent="0.35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6"/>
      <c r="N21" s="4"/>
    </row>
    <row r="22" spans="1:19" x14ac:dyDescent="0.3">
      <c r="D22" s="1"/>
      <c r="E22"/>
      <c r="F22" s="1"/>
      <c r="G22" s="6"/>
      <c r="H22" s="2"/>
      <c r="I22"/>
      <c r="N22" s="4"/>
    </row>
    <row r="23" spans="1:19" x14ac:dyDescent="0.3">
      <c r="D23"/>
      <c r="E23"/>
      <c r="F23" s="18"/>
      <c r="G23" s="18"/>
      <c r="O23" s="4"/>
    </row>
    <row r="24" spans="1:19" x14ac:dyDescent="0.3">
      <c r="D24"/>
      <c r="E24"/>
      <c r="F24" s="7"/>
      <c r="I24"/>
      <c r="P24" s="4"/>
    </row>
    <row r="25" spans="1:19" x14ac:dyDescent="0.3">
      <c r="B25" s="27" t="s">
        <v>59</v>
      </c>
      <c r="C25" s="27" t="s">
        <v>43</v>
      </c>
      <c r="D25" s="27" t="s">
        <v>44</v>
      </c>
      <c r="E25" s="27"/>
      <c r="F25" s="27" t="s">
        <v>15</v>
      </c>
      <c r="G25" s="27" t="s">
        <v>107</v>
      </c>
      <c r="H25" s="27"/>
      <c r="I25" s="27"/>
      <c r="J25" s="27" t="s">
        <v>60</v>
      </c>
      <c r="K25" s="9"/>
      <c r="L25" s="9"/>
      <c r="M25" s="9"/>
      <c r="N25" s="9"/>
      <c r="O25" s="9"/>
      <c r="P25" s="4">
        <v>1</v>
      </c>
      <c r="Q25" t="s">
        <v>27</v>
      </c>
      <c r="R25" s="9"/>
      <c r="S25" s="9"/>
    </row>
    <row r="26" spans="1:19" x14ac:dyDescent="0.3">
      <c r="A26">
        <f>VLOOKUP(B26,$K$3:$L$14,2,0)</f>
        <v>0</v>
      </c>
      <c r="B26" t="str">
        <f>IF(F26 &lt;30.01, "Aries\Mesha", IF( F26 &lt; 60.01, "Taurus\Vrushaba", IF( F26 &lt;90.01, "Gemini\Midhuna", IF( F26 &lt;120.01, "Cancer\Karkaataka", IF( F26 &lt;150.01, "Leo\Simham", IF( F26 &lt;180.01, "Virgo\Kanya", IF( F26 &lt; 210.01, "Libra\Tula", IF( F26 &lt; 240.01, "Scorpio\Vrushikam", IF( F26 &lt; 270.01, "Saggitarius\Dhanassu", IF( F26 &lt; 300.01, "Capricorn\Makara", IF( F26 &lt; 330.01, "Acquarious\Kumbha", "Pieces\Meena")))))))))))</f>
        <v>Aries\Mesha</v>
      </c>
      <c r="C26" t="str">
        <f>VLOOKUP(ROUNDUP(H26/4,0),$P$25:$Q$51,2,0)</f>
        <v>Arudra</v>
      </c>
      <c r="D26">
        <f t="shared" ref="D26:D38" si="3">4-((VLOOKUP(ROUNDUP(H26/4,0),$P$25:$Q$51,1,0)*4)-H26)</f>
        <v>3</v>
      </c>
      <c r="E26" t="s">
        <v>1</v>
      </c>
      <c r="F26" s="13">
        <f t="shared" ref="F26:F38" si="4">G3</f>
        <v>20.731783</v>
      </c>
      <c r="G26" s="5">
        <f>ROUND(Sheet1!H3,2)</f>
        <v>142.35</v>
      </c>
      <c r="H26">
        <f t="shared" ref="H26:H32" si="5">ROUNDUP(F26*9/30,0)</f>
        <v>7</v>
      </c>
      <c r="I26" s="29" t="str">
        <f>ROUND((F26-ROUNDDOWN(F26,0))*60,0)&amp;"'"</f>
        <v>44'</v>
      </c>
      <c r="J26" t="str">
        <f>LEFT(E26,2)&amp;"-"&amp;ROUNDDOWN((F26-A26),0)&amp;"°"&amp;" "&amp;I26</f>
        <v>Su-20° 44'</v>
      </c>
      <c r="K26" t="s">
        <v>101</v>
      </c>
      <c r="L26" t="str" cm="1">
        <f t="array" ref="L26">_xlfn.TEXTJOIN(", ", TRUE, IF($B$25:$B$38=K26, $J$25:$J$38, ""))</f>
        <v>Su-20° 44', Me-18° 22'</v>
      </c>
      <c r="P26" s="4">
        <f t="shared" ref="P26:P51" si="6">P25+1</f>
        <v>2</v>
      </c>
      <c r="Q26" t="s">
        <v>28</v>
      </c>
    </row>
    <row r="27" spans="1:19" x14ac:dyDescent="0.3">
      <c r="A27">
        <f t="shared" ref="A27:A38" si="7">VLOOKUP(B27,$K$3:$L$14,2,0)</f>
        <v>90</v>
      </c>
      <c r="B27" t="str">
        <f t="shared" ref="B27:B38" si="8">IF(F27 &lt;30.01, "Aries\Mesha", IF( F27 &lt; 60.01, "Taurus\Vrushaba", IF( F27 &lt;90.01, "Gemini\Midhuna", IF( F27 &lt;120.01, "Cancer\Karkaataka", IF( F27 &lt;150.01, "Leo\Simham", IF( F27 &lt;180.01, "Virgo\Kanya", IF( F27 &lt; 210.01, "Libra\Tula", IF( F27 &lt; 240.01, "Scorpio\Vrushikam", IF( F27 &lt; 270.01, "Saggitarius\Dhanassu", IF( F27 &lt; 300.01, "Capricorn\Makara", IF( F27 &lt; 330.01, "Acquarious\Kumbha", "Pieces\Meena")))))))))))</f>
        <v>Cancer\Karkaataka</v>
      </c>
      <c r="C27" t="str">
        <f t="shared" ref="C27:C38" si="9">VLOOKUP(ROUNDUP(H27/4,0),$P$25:$Q$51,2,0)</f>
        <v>Hasta</v>
      </c>
      <c r="D27">
        <f t="shared" si="3"/>
        <v>4</v>
      </c>
      <c r="E27" t="s">
        <v>2</v>
      </c>
      <c r="F27" s="13">
        <f t="shared" si="4"/>
        <v>103.45106699999999</v>
      </c>
      <c r="G27" s="5">
        <f>ROUND(Sheet1!H4,2)</f>
        <v>59.63</v>
      </c>
      <c r="H27">
        <f t="shared" si="5"/>
        <v>32</v>
      </c>
      <c r="I27" s="29" t="str">
        <f t="shared" ref="I27:I38" si="10">ROUND((F27-ROUNDDOWN(F27,0))*60,0)&amp;"'"</f>
        <v>27'</v>
      </c>
      <c r="J27" t="str">
        <f t="shared" ref="J27:J38" si="11">LEFT(E27,2)&amp;"-"&amp;ROUNDDOWN((F27-A27),0)&amp;"°"&amp;" "&amp;I27</f>
        <v>Mo-13° 27'</v>
      </c>
      <c r="K27" t="s">
        <v>102</v>
      </c>
      <c r="L27" t="str" cm="1">
        <f t="array" ref="L27">_xlfn.TEXTJOIN(", ", TRUE, IF($B$25:$B$38=K27, $J$25:$J$38, ""))</f>
        <v>Ma-26° 4'</v>
      </c>
      <c r="P27" s="4">
        <f t="shared" si="6"/>
        <v>3</v>
      </c>
      <c r="Q27" t="s">
        <v>21</v>
      </c>
    </row>
    <row r="28" spans="1:19" x14ac:dyDescent="0.3">
      <c r="A28">
        <f t="shared" si="7"/>
        <v>30</v>
      </c>
      <c r="B28" t="str">
        <f t="shared" si="8"/>
        <v>Taurus\Vrushaba</v>
      </c>
      <c r="C28" t="str">
        <f t="shared" si="9"/>
        <v>Bharani</v>
      </c>
      <c r="D28">
        <f t="shared" si="3"/>
        <v>1</v>
      </c>
      <c r="E28" t="s">
        <v>3</v>
      </c>
      <c r="F28" s="13">
        <f t="shared" si="4"/>
        <v>56.061208000000001</v>
      </c>
      <c r="G28" s="5">
        <f>ROUND(Sheet1!H5,2)</f>
        <v>107.02</v>
      </c>
      <c r="H28">
        <f t="shared" si="5"/>
        <v>17</v>
      </c>
      <c r="I28" s="29" t="str">
        <f t="shared" si="10"/>
        <v>4'</v>
      </c>
      <c r="J28" t="str">
        <f t="shared" si="11"/>
        <v>Ma-26° 4'</v>
      </c>
      <c r="K28" t="s">
        <v>61</v>
      </c>
      <c r="L28" t="str" cm="1">
        <f t="array" ref="L28">_xlfn.TEXTJOIN(", ", TRUE, IF($B$25:$B$38=K28, $J$25:$J$38, ""))</f>
        <v/>
      </c>
      <c r="P28" s="4">
        <f t="shared" si="6"/>
        <v>4</v>
      </c>
      <c r="Q28" t="s">
        <v>16</v>
      </c>
    </row>
    <row r="29" spans="1:19" x14ac:dyDescent="0.3">
      <c r="A29">
        <f t="shared" si="7"/>
        <v>0</v>
      </c>
      <c r="B29" t="str">
        <f t="shared" si="8"/>
        <v>Aries\Mesha</v>
      </c>
      <c r="C29" t="str">
        <f t="shared" si="9"/>
        <v>Arudra</v>
      </c>
      <c r="D29">
        <f t="shared" si="3"/>
        <v>2</v>
      </c>
      <c r="E29" t="s">
        <v>4</v>
      </c>
      <c r="F29" s="13">
        <f t="shared" si="4"/>
        <v>18.365625000000001</v>
      </c>
      <c r="G29" s="5">
        <f>ROUND(Sheet1!H6,2)</f>
        <v>144.72</v>
      </c>
      <c r="H29">
        <f t="shared" si="5"/>
        <v>6</v>
      </c>
      <c r="I29" s="29" t="str">
        <f t="shared" si="10"/>
        <v>22'</v>
      </c>
      <c r="J29" t="str">
        <f t="shared" si="11"/>
        <v>Me-18° 22'</v>
      </c>
      <c r="K29" t="s">
        <v>62</v>
      </c>
      <c r="L29" t="str" cm="1">
        <f t="array" ref="L29">_xlfn.TEXTJOIN(", ", TRUE, IF($B$25:$B$38=K29, $J$25:$J$38, ""))</f>
        <v>Mo-13° 27'</v>
      </c>
      <c r="P29" s="4">
        <f t="shared" si="6"/>
        <v>5</v>
      </c>
      <c r="Q29" t="s">
        <v>17</v>
      </c>
    </row>
    <row r="30" spans="1:19" x14ac:dyDescent="0.3">
      <c r="A30">
        <f t="shared" si="7"/>
        <v>330</v>
      </c>
      <c r="B30" t="str">
        <f t="shared" si="8"/>
        <v>Pieces\Meena</v>
      </c>
      <c r="C30" t="str">
        <f t="shared" si="9"/>
        <v>Vishaakha</v>
      </c>
      <c r="D30">
        <f t="shared" si="3"/>
        <v>2</v>
      </c>
      <c r="E30" t="s">
        <v>5</v>
      </c>
      <c r="F30" s="13">
        <f t="shared" si="4"/>
        <v>351.471994</v>
      </c>
      <c r="G30" s="5">
        <f>ROUND(Sheet1!H7,2)</f>
        <v>171.61</v>
      </c>
      <c r="H30">
        <f t="shared" si="5"/>
        <v>106</v>
      </c>
      <c r="I30" s="29" t="str">
        <f t="shared" si="10"/>
        <v>28'</v>
      </c>
      <c r="J30" t="str">
        <f t="shared" si="11"/>
        <v>Ju-21° 28'</v>
      </c>
      <c r="K30" t="s">
        <v>63</v>
      </c>
      <c r="L30" t="str" cm="1">
        <f t="array" ref="L30">_xlfn.TEXTJOIN(", ", TRUE, IF($B$25:$B$38=K30, $J$25:$J$38, ""))</f>
        <v/>
      </c>
      <c r="P30" s="4">
        <f t="shared" si="6"/>
        <v>6</v>
      </c>
      <c r="Q30" t="s">
        <v>29</v>
      </c>
    </row>
    <row r="31" spans="1:19" x14ac:dyDescent="0.3">
      <c r="A31">
        <f t="shared" si="7"/>
        <v>330</v>
      </c>
      <c r="B31" t="str">
        <f t="shared" si="8"/>
        <v>Pieces\Meena</v>
      </c>
      <c r="C31" t="str">
        <f t="shared" si="9"/>
        <v>Vishaakha</v>
      </c>
      <c r="D31">
        <f t="shared" si="3"/>
        <v>2</v>
      </c>
      <c r="E31" t="s">
        <v>0</v>
      </c>
      <c r="F31" s="13">
        <f t="shared" si="4"/>
        <v>351.73243200000002</v>
      </c>
      <c r="G31" s="5">
        <f>ROUND(Sheet1!H8,2)</f>
        <v>171.35</v>
      </c>
      <c r="H31">
        <f t="shared" si="5"/>
        <v>106</v>
      </c>
      <c r="I31" s="29" t="str">
        <f t="shared" si="10"/>
        <v>44'</v>
      </c>
      <c r="J31" t="str">
        <f t="shared" si="11"/>
        <v>Ve-21° 44'</v>
      </c>
      <c r="K31" t="s">
        <v>64</v>
      </c>
      <c r="L31" t="str" cm="1">
        <f t="array" ref="L31">_xlfn.TEXTJOIN(", ", TRUE, IF($B$25:$B$38=K31, $J$25:$J$38, ""))</f>
        <v>Ke-16° 14', As-13° 5'</v>
      </c>
      <c r="P31" s="4">
        <f t="shared" si="6"/>
        <v>7</v>
      </c>
      <c r="Q31" t="s">
        <v>24</v>
      </c>
    </row>
    <row r="32" spans="1:19" x14ac:dyDescent="0.3">
      <c r="A32">
        <f t="shared" si="7"/>
        <v>210</v>
      </c>
      <c r="B32" t="str">
        <f t="shared" si="8"/>
        <v>Scorpio\Vrushikam</v>
      </c>
      <c r="C32" t="str">
        <f t="shared" si="9"/>
        <v>Pushya</v>
      </c>
      <c r="D32">
        <f t="shared" si="3"/>
        <v>3</v>
      </c>
      <c r="E32" t="s">
        <v>6</v>
      </c>
      <c r="F32" s="13">
        <f t="shared" si="4"/>
        <v>236.51013599999999</v>
      </c>
      <c r="G32" s="5">
        <f>ROUND(Sheet1!H9,2)</f>
        <v>73.430000000000007</v>
      </c>
      <c r="H32">
        <f t="shared" si="5"/>
        <v>71</v>
      </c>
      <c r="I32" s="29" t="str">
        <f t="shared" si="10"/>
        <v>31'</v>
      </c>
      <c r="J32" t="str">
        <f t="shared" si="11"/>
        <v>Sa-26° 31'</v>
      </c>
      <c r="K32" t="s">
        <v>65</v>
      </c>
      <c r="L32" t="str" cm="1">
        <f t="array" ref="L32">_xlfn.TEXTJOIN(", ", TRUE, IF($B$25:$B$38=K32, $J$25:$J$38, ""))</f>
        <v>Pl-14° 44'</v>
      </c>
      <c r="P32" s="4">
        <f t="shared" si="6"/>
        <v>8</v>
      </c>
      <c r="Q32" t="s">
        <v>22</v>
      </c>
    </row>
    <row r="33" spans="1:17" x14ac:dyDescent="0.3">
      <c r="A33">
        <f t="shared" si="7"/>
        <v>240</v>
      </c>
      <c r="B33" t="str">
        <f t="shared" si="8"/>
        <v>Saggitarius\Dhanassu</v>
      </c>
      <c r="C33" t="str">
        <f t="shared" si="9"/>
        <v>Uttara</v>
      </c>
      <c r="D33">
        <f t="shared" si="3"/>
        <v>4</v>
      </c>
      <c r="E33" t="s">
        <v>12</v>
      </c>
      <c r="F33" s="13">
        <f t="shared" si="4"/>
        <v>242.568871</v>
      </c>
      <c r="G33" s="5">
        <f>Sheet1!H10</f>
        <v>79.487200000000001</v>
      </c>
      <c r="H33">
        <f>ROUNDUP(F36*9/30,0)</f>
        <v>104</v>
      </c>
      <c r="I33" s="29" t="str">
        <f t="shared" si="10"/>
        <v>34'</v>
      </c>
      <c r="J33" t="str">
        <f t="shared" si="11"/>
        <v>Ur-2° 34'</v>
      </c>
      <c r="K33" t="s">
        <v>66</v>
      </c>
      <c r="L33" t="str" cm="1">
        <f t="array" ref="L33">_xlfn.TEXTJOIN(", ", TRUE, IF($B$25:$B$38=K33, $J$25:$J$38, ""))</f>
        <v>Sa-26° 31'</v>
      </c>
      <c r="P33" s="4">
        <f t="shared" si="6"/>
        <v>9</v>
      </c>
      <c r="Q33" t="s">
        <v>30</v>
      </c>
    </row>
    <row r="34" spans="1:17" x14ac:dyDescent="0.3">
      <c r="A34">
        <f t="shared" si="7"/>
        <v>240</v>
      </c>
      <c r="B34" t="str">
        <f t="shared" si="8"/>
        <v>Saggitarius\Dhanassu</v>
      </c>
      <c r="C34" t="str">
        <f t="shared" si="9"/>
        <v>Mrigasiraa</v>
      </c>
      <c r="D34">
        <f t="shared" si="3"/>
        <v>2</v>
      </c>
      <c r="E34" t="s">
        <v>13</v>
      </c>
      <c r="F34" s="13">
        <f t="shared" si="4"/>
        <v>254.15243899999999</v>
      </c>
      <c r="G34" s="5">
        <f>Sheet1!H11</f>
        <v>91.070800000000006</v>
      </c>
      <c r="H34">
        <f>ROUNDUP(F37*9/30,0)</f>
        <v>50</v>
      </c>
      <c r="I34" s="29" t="str">
        <f t="shared" si="10"/>
        <v>9'</v>
      </c>
      <c r="J34" t="str">
        <f t="shared" si="11"/>
        <v>Ne-14° 9'</v>
      </c>
      <c r="K34" t="s">
        <v>67</v>
      </c>
      <c r="L34" t="str" cm="1">
        <f t="array" ref="L34">_xlfn.TEXTJOIN(", ", TRUE, IF($B$25:$B$38=K34, $J$25:$J$38, ""))</f>
        <v>Ur-2° 34', Ne-14° 9'</v>
      </c>
      <c r="P34" s="4">
        <f t="shared" si="6"/>
        <v>10</v>
      </c>
      <c r="Q34" t="s">
        <v>31</v>
      </c>
    </row>
    <row r="35" spans="1:17" x14ac:dyDescent="0.3">
      <c r="A35">
        <f t="shared" si="7"/>
        <v>180</v>
      </c>
      <c r="B35" t="str">
        <f t="shared" si="8"/>
        <v>Libra\Tula</v>
      </c>
      <c r="C35" t="str">
        <f t="shared" si="9"/>
        <v>Mrigasiraa</v>
      </c>
      <c r="D35">
        <f t="shared" si="3"/>
        <v>1</v>
      </c>
      <c r="E35" t="s">
        <v>14</v>
      </c>
      <c r="F35" s="13">
        <f t="shared" si="4"/>
        <v>194.73685900000001</v>
      </c>
      <c r="G35" s="5">
        <f>Sheet1!H12</f>
        <v>31.655200000000001</v>
      </c>
      <c r="H35">
        <f>ROUNDUP(F38*9/30,0)</f>
        <v>49</v>
      </c>
      <c r="I35" s="29" t="str">
        <f t="shared" si="10"/>
        <v>44'</v>
      </c>
      <c r="J35" t="str">
        <f t="shared" si="11"/>
        <v>Pl-14° 44'</v>
      </c>
      <c r="K35" t="s">
        <v>68</v>
      </c>
      <c r="L35" t="str" cm="1">
        <f t="array" ref="L35">_xlfn.TEXTJOIN(", ", TRUE, IF($B$25:$B$38=K35, $J$25:$J$38, ""))</f>
        <v/>
      </c>
      <c r="P35" s="4">
        <f t="shared" si="6"/>
        <v>11</v>
      </c>
      <c r="Q35" t="s">
        <v>32</v>
      </c>
    </row>
    <row r="36" spans="1:17" x14ac:dyDescent="0.3">
      <c r="A36">
        <f t="shared" si="7"/>
        <v>330</v>
      </c>
      <c r="B36" t="str">
        <f t="shared" si="8"/>
        <v>Pieces\Meena</v>
      </c>
      <c r="C36" t="str">
        <f t="shared" si="9"/>
        <v>Revati</v>
      </c>
      <c r="D36">
        <f t="shared" si="3"/>
        <v>1</v>
      </c>
      <c r="E36" t="s">
        <v>7</v>
      </c>
      <c r="F36" s="13">
        <f t="shared" si="4"/>
        <v>346.22582799999998</v>
      </c>
      <c r="G36" s="5">
        <f>Sheet1!H13</f>
        <v>176.85579999999999</v>
      </c>
      <c r="H36">
        <f>ROUNDUP(F33*9/30,0)</f>
        <v>73</v>
      </c>
      <c r="I36" s="29" t="str">
        <f t="shared" si="10"/>
        <v>14'</v>
      </c>
      <c r="J36" t="str">
        <f t="shared" si="11"/>
        <v>Ra-16° 14'</v>
      </c>
      <c r="K36" t="s">
        <v>69</v>
      </c>
      <c r="L36" t="str" cm="1">
        <f t="array" ref="L36">_xlfn.TEXTJOIN(", ", TRUE, IF($B$25:$B$38=K36, $J$25:$J$38, ""))</f>
        <v/>
      </c>
      <c r="P36" s="4">
        <f t="shared" si="6"/>
        <v>12</v>
      </c>
      <c r="Q36" t="s">
        <v>33</v>
      </c>
    </row>
    <row r="37" spans="1:17" x14ac:dyDescent="0.3">
      <c r="A37">
        <f t="shared" si="7"/>
        <v>150</v>
      </c>
      <c r="B37" t="str">
        <f t="shared" si="8"/>
        <v>Virgo\Kanya</v>
      </c>
      <c r="C37" t="str">
        <f t="shared" si="9"/>
        <v>Rohini</v>
      </c>
      <c r="D37">
        <f t="shared" si="3"/>
        <v>1</v>
      </c>
      <c r="E37" t="s">
        <v>8</v>
      </c>
      <c r="F37" s="13">
        <f t="shared" si="4"/>
        <v>166.22582800000001</v>
      </c>
      <c r="G37" s="5">
        <f>Sheet1!H14</f>
        <v>3.1442000000000001</v>
      </c>
      <c r="H37">
        <f>ROUNDUP(F34*9/30,0)</f>
        <v>77</v>
      </c>
      <c r="I37" s="29" t="str">
        <f t="shared" si="10"/>
        <v>14'</v>
      </c>
      <c r="J37" t="str">
        <f t="shared" si="11"/>
        <v>Ke-16° 14'</v>
      </c>
      <c r="K37" t="s">
        <v>70</v>
      </c>
      <c r="L37" t="str" cm="1">
        <f t="array" ref="L37">_xlfn.TEXTJOIN(", ", TRUE, IF($B$25:$B$38=K37, $J$25:$J$38, ""))</f>
        <v>Ju-21° 28', Ve-21° 44', Ra-16° 14'</v>
      </c>
      <c r="P37" s="4">
        <f t="shared" si="6"/>
        <v>13</v>
      </c>
      <c r="Q37" t="s">
        <v>34</v>
      </c>
    </row>
    <row r="38" spans="1:17" x14ac:dyDescent="0.3">
      <c r="A38">
        <f t="shared" si="7"/>
        <v>150</v>
      </c>
      <c r="B38" t="str">
        <f t="shared" si="8"/>
        <v>Virgo\Kanya</v>
      </c>
      <c r="C38" t="str">
        <f t="shared" si="9"/>
        <v>Poorvashaadha</v>
      </c>
      <c r="D38">
        <f t="shared" si="3"/>
        <v>3</v>
      </c>
      <c r="E38" t="s">
        <v>49</v>
      </c>
      <c r="F38" s="13">
        <f t="shared" si="4"/>
        <v>163.08167499999999</v>
      </c>
      <c r="G38" s="5"/>
      <c r="H38">
        <f>ROUNDUP(F35*9/30,0)</f>
        <v>59</v>
      </c>
      <c r="I38" s="29" t="str">
        <f t="shared" si="10"/>
        <v>5'</v>
      </c>
      <c r="J38" t="str">
        <f t="shared" si="11"/>
        <v>As-13° 5'</v>
      </c>
      <c r="P38" s="4">
        <f t="shared" si="6"/>
        <v>14</v>
      </c>
      <c r="Q38" t="s">
        <v>19</v>
      </c>
    </row>
    <row r="39" spans="1:17" x14ac:dyDescent="0.3">
      <c r="D39"/>
      <c r="E39"/>
      <c r="I39"/>
      <c r="P39" s="4">
        <f t="shared" si="6"/>
        <v>15</v>
      </c>
      <c r="Q39" t="s">
        <v>35</v>
      </c>
    </row>
    <row r="40" spans="1:17" x14ac:dyDescent="0.3">
      <c r="D40"/>
      <c r="E40"/>
      <c r="F40" s="19"/>
      <c r="I40"/>
      <c r="P40" s="4">
        <f t="shared" si="6"/>
        <v>16</v>
      </c>
      <c r="Q40" t="s">
        <v>36</v>
      </c>
    </row>
    <row r="41" spans="1:17" x14ac:dyDescent="0.3">
      <c r="D41"/>
      <c r="E41"/>
      <c r="I41"/>
      <c r="J41" s="28" t="s">
        <v>87</v>
      </c>
      <c r="P41" s="4">
        <f t="shared" si="6"/>
        <v>17</v>
      </c>
      <c r="Q41" t="s">
        <v>37</v>
      </c>
    </row>
    <row r="42" spans="1:17" x14ac:dyDescent="0.3">
      <c r="B42" t="str">
        <f>VLOOKUP(G42,$J$3:$K$14,2,0)</f>
        <v>Libra\Tula</v>
      </c>
      <c r="D42"/>
      <c r="E42" t="str">
        <f>E26</f>
        <v>Sun</v>
      </c>
      <c r="F42">
        <f>MOD(F26/(360/108),12)+1</f>
        <v>7.2195348999999993</v>
      </c>
      <c r="G42">
        <f>ROUNDDOWN(F42,0)</f>
        <v>7</v>
      </c>
      <c r="I42"/>
      <c r="J42" t="s">
        <v>89</v>
      </c>
      <c r="K42" t="s">
        <v>101</v>
      </c>
      <c r="L42" t="str" cm="1">
        <f t="array" ref="L42">_xlfn.TEXTJOIN(", ", TRUE, IF($B$42:$B$55=K42, $J$42:$J$55, ""))</f>
        <v>Ur, As</v>
      </c>
      <c r="P42" s="4">
        <f t="shared" si="6"/>
        <v>18</v>
      </c>
      <c r="Q42" t="s">
        <v>20</v>
      </c>
    </row>
    <row r="43" spans="1:17" x14ac:dyDescent="0.3">
      <c r="B43" t="str">
        <f t="shared" ref="B43:B54" si="12">VLOOKUP(G43,$J$3:$K$14,2,0)</f>
        <v>Scorpio\Vrushikam</v>
      </c>
      <c r="D43"/>
      <c r="E43" t="str">
        <f t="shared" ref="E43:E54" si="13">E27</f>
        <v>Moon</v>
      </c>
      <c r="F43">
        <f t="shared" ref="F43:F54" si="14">MOD(F27/(360/108),12)+1</f>
        <v>8.0353200999999963</v>
      </c>
      <c r="G43">
        <f t="shared" ref="G43:G54" si="15">ROUNDDOWN(F43,0)</f>
        <v>8</v>
      </c>
      <c r="I43"/>
      <c r="J43" t="s">
        <v>90</v>
      </c>
      <c r="K43" t="s">
        <v>102</v>
      </c>
      <c r="L43" t="str" cm="1">
        <f t="array" ref="L43">_xlfn.TEXTJOIN(", ", TRUE, IF($B$42:$B$55=K43, $J$42:$J$55, ""))</f>
        <v>Ke</v>
      </c>
      <c r="P43" s="4">
        <f t="shared" si="6"/>
        <v>19</v>
      </c>
      <c r="Q43" t="s">
        <v>26</v>
      </c>
    </row>
    <row r="44" spans="1:17" x14ac:dyDescent="0.3">
      <c r="B44" t="str">
        <f t="shared" si="12"/>
        <v>Leo\Simham</v>
      </c>
      <c r="D44"/>
      <c r="E44" t="str">
        <f t="shared" si="13"/>
        <v>Mars</v>
      </c>
      <c r="F44">
        <f t="shared" si="14"/>
        <v>5.818362399999998</v>
      </c>
      <c r="G44">
        <f t="shared" si="15"/>
        <v>5</v>
      </c>
      <c r="I44"/>
      <c r="J44" t="s">
        <v>91</v>
      </c>
      <c r="K44" t="s">
        <v>61</v>
      </c>
      <c r="L44" t="str" cm="1">
        <f t="array" ref="L44">_xlfn.TEXTJOIN(", ", TRUE, IF($B$42:$B$55=K44, $J$42:$J$55, ""))</f>
        <v/>
      </c>
      <c r="P44" s="4">
        <f t="shared" si="6"/>
        <v>20</v>
      </c>
      <c r="Q44" t="s">
        <v>18</v>
      </c>
    </row>
    <row r="45" spans="1:17" x14ac:dyDescent="0.3">
      <c r="B45" t="str">
        <f t="shared" si="12"/>
        <v>Virgo\Kanya</v>
      </c>
      <c r="D45"/>
      <c r="E45" t="str">
        <f t="shared" si="13"/>
        <v>Mercury</v>
      </c>
      <c r="F45">
        <f t="shared" si="14"/>
        <v>6.5096875000000001</v>
      </c>
      <c r="G45">
        <f t="shared" si="15"/>
        <v>6</v>
      </c>
      <c r="I45"/>
      <c r="J45" t="s">
        <v>92</v>
      </c>
      <c r="K45" t="s">
        <v>62</v>
      </c>
      <c r="L45" t="str" cm="1">
        <f t="array" ref="L45">_xlfn.TEXTJOIN(", ", TRUE, IF($B$42:$B$55=K45, $J$42:$J$55, ""))</f>
        <v/>
      </c>
      <c r="P45" s="4">
        <f t="shared" si="6"/>
        <v>21</v>
      </c>
      <c r="Q45" t="s">
        <v>25</v>
      </c>
    </row>
    <row r="46" spans="1:17" x14ac:dyDescent="0.3">
      <c r="B46" t="str">
        <f t="shared" si="12"/>
        <v>Capricorn\Makara</v>
      </c>
      <c r="D46"/>
      <c r="E46" t="str">
        <f t="shared" si="13"/>
        <v>Jupiter</v>
      </c>
      <c r="F46">
        <f t="shared" si="14"/>
        <v>10.441598199999987</v>
      </c>
      <c r="G46">
        <f t="shared" si="15"/>
        <v>10</v>
      </c>
      <c r="I46"/>
      <c r="J46" t="s">
        <v>93</v>
      </c>
      <c r="K46" t="s">
        <v>63</v>
      </c>
      <c r="L46" t="str" cm="1">
        <f t="array" ref="L46">_xlfn.TEXTJOIN(", ", TRUE, IF($B$42:$B$55=K46, $J$42:$J$55, ""))</f>
        <v>Ma, Ne</v>
      </c>
      <c r="P46" s="4">
        <f t="shared" si="6"/>
        <v>22</v>
      </c>
      <c r="Q46" t="s">
        <v>23</v>
      </c>
    </row>
    <row r="47" spans="1:17" x14ac:dyDescent="0.3">
      <c r="B47" t="str">
        <f t="shared" si="12"/>
        <v>Capricorn\Makara</v>
      </c>
      <c r="D47"/>
      <c r="E47" t="str">
        <f t="shared" si="13"/>
        <v>Venus</v>
      </c>
      <c r="F47">
        <f t="shared" si="14"/>
        <v>10.519729600000005</v>
      </c>
      <c r="G47">
        <f t="shared" si="15"/>
        <v>10</v>
      </c>
      <c r="I47"/>
      <c r="J47" t="s">
        <v>94</v>
      </c>
      <c r="K47" t="s">
        <v>64</v>
      </c>
      <c r="L47" t="str" cm="1">
        <f t="array" ref="L47">_xlfn.TEXTJOIN(", ", TRUE, IF($B$42:$B$55=K47, $J$42:$J$55, ""))</f>
        <v>Me</v>
      </c>
      <c r="P47" s="4">
        <f t="shared" si="6"/>
        <v>23</v>
      </c>
      <c r="Q47" t="s">
        <v>38</v>
      </c>
    </row>
    <row r="48" spans="1:17" x14ac:dyDescent="0.3">
      <c r="B48" t="str">
        <f t="shared" si="12"/>
        <v>Acquarious\Kumbha</v>
      </c>
      <c r="D48"/>
      <c r="E48" t="str">
        <f t="shared" si="13"/>
        <v>Saturn</v>
      </c>
      <c r="F48">
        <f t="shared" si="14"/>
        <v>11.953040799999997</v>
      </c>
      <c r="G48">
        <f t="shared" si="15"/>
        <v>11</v>
      </c>
      <c r="I48"/>
      <c r="J48" t="s">
        <v>95</v>
      </c>
      <c r="K48" t="s">
        <v>65</v>
      </c>
      <c r="L48" t="str" cm="1">
        <f t="array" ref="L48">_xlfn.TEXTJOIN(", ", TRUE, IF($B$42:$B$55=K48, $J$42:$J$55, ""))</f>
        <v>Su</v>
      </c>
      <c r="P48" s="4">
        <f t="shared" si="6"/>
        <v>24</v>
      </c>
      <c r="Q48" t="s">
        <v>39</v>
      </c>
    </row>
    <row r="49" spans="1:17" x14ac:dyDescent="0.3">
      <c r="B49" t="str">
        <f t="shared" si="12"/>
        <v>Aries\Mesha</v>
      </c>
      <c r="D49"/>
      <c r="E49" t="str">
        <f t="shared" si="13"/>
        <v>Uranus</v>
      </c>
      <c r="F49">
        <f t="shared" si="14"/>
        <v>1.7706613000000004</v>
      </c>
      <c r="G49">
        <f t="shared" si="15"/>
        <v>1</v>
      </c>
      <c r="I49"/>
      <c r="J49" t="s">
        <v>96</v>
      </c>
      <c r="K49" t="s">
        <v>66</v>
      </c>
      <c r="L49" t="str" cm="1">
        <f t="array" ref="L49">_xlfn.TEXTJOIN(", ", TRUE, IF($B$42:$B$55=K49, $J$42:$J$55, ""))</f>
        <v>Mo, Ra</v>
      </c>
      <c r="P49" s="4">
        <f t="shared" si="6"/>
        <v>25</v>
      </c>
      <c r="Q49" t="s">
        <v>40</v>
      </c>
    </row>
    <row r="50" spans="1:17" x14ac:dyDescent="0.3">
      <c r="B50" t="str">
        <f t="shared" si="12"/>
        <v>Leo\Simham</v>
      </c>
      <c r="D50"/>
      <c r="E50" t="str">
        <f t="shared" si="13"/>
        <v>Neptune</v>
      </c>
      <c r="F50">
        <f t="shared" si="14"/>
        <v>5.2457316999999932</v>
      </c>
      <c r="G50">
        <f t="shared" si="15"/>
        <v>5</v>
      </c>
      <c r="I50"/>
      <c r="J50" t="s">
        <v>97</v>
      </c>
      <c r="K50" t="s">
        <v>67</v>
      </c>
      <c r="L50" t="str" cm="1">
        <f t="array" ref="L50">_xlfn.TEXTJOIN(", ", TRUE, IF($B$42:$B$55=K50, $J$42:$J$55, ""))</f>
        <v/>
      </c>
      <c r="P50" s="4">
        <f t="shared" si="6"/>
        <v>26</v>
      </c>
      <c r="Q50" t="s">
        <v>41</v>
      </c>
    </row>
    <row r="51" spans="1:17" x14ac:dyDescent="0.3">
      <c r="B51" t="str">
        <f t="shared" si="12"/>
        <v>Acquarious\Kumbha</v>
      </c>
      <c r="D51"/>
      <c r="E51" t="str">
        <f t="shared" si="13"/>
        <v>Pluto</v>
      </c>
      <c r="F51">
        <f t="shared" si="14"/>
        <v>11.421057699999999</v>
      </c>
      <c r="G51">
        <f t="shared" si="15"/>
        <v>11</v>
      </c>
      <c r="I51"/>
      <c r="J51" t="s">
        <v>98</v>
      </c>
      <c r="K51" t="s">
        <v>68</v>
      </c>
      <c r="L51" t="str" cm="1">
        <f t="array" ref="L51">_xlfn.TEXTJOIN(", ", TRUE, IF($B$42:$B$55=K51, $J$42:$J$55, ""))</f>
        <v>Ju, Ve</v>
      </c>
      <c r="P51" s="4">
        <f t="shared" si="6"/>
        <v>27</v>
      </c>
      <c r="Q51" t="s">
        <v>42</v>
      </c>
    </row>
    <row r="52" spans="1:17" x14ac:dyDescent="0.3">
      <c r="B52" t="str">
        <f t="shared" si="12"/>
        <v>Scorpio\Vrushikam</v>
      </c>
      <c r="D52"/>
      <c r="E52" t="str">
        <f t="shared" si="13"/>
        <v>Rahu</v>
      </c>
      <c r="F52">
        <f t="shared" si="14"/>
        <v>8.8677483999999822</v>
      </c>
      <c r="G52">
        <f t="shared" si="15"/>
        <v>8</v>
      </c>
      <c r="I52"/>
      <c r="J52" t="s">
        <v>88</v>
      </c>
      <c r="K52" t="s">
        <v>69</v>
      </c>
      <c r="L52" t="str" cm="1">
        <f t="array" ref="L52">_xlfn.TEXTJOIN(", ", TRUE, IF($B$42:$B$55=K52, $J$42:$J$55, ""))</f>
        <v>Sa, Pl</v>
      </c>
      <c r="P52" s="4"/>
    </row>
    <row r="53" spans="1:17" x14ac:dyDescent="0.3">
      <c r="B53" t="str">
        <f t="shared" si="12"/>
        <v>Taurus\Vrushaba</v>
      </c>
      <c r="E53" t="str">
        <f t="shared" si="13"/>
        <v>Ketu</v>
      </c>
      <c r="F53">
        <f t="shared" si="14"/>
        <v>2.8677483999999964</v>
      </c>
      <c r="G53">
        <f t="shared" si="15"/>
        <v>2</v>
      </c>
      <c r="J53" t="s">
        <v>99</v>
      </c>
      <c r="K53" t="s">
        <v>70</v>
      </c>
      <c r="L53" t="str" cm="1">
        <f t="array" ref="L53">_xlfn.TEXTJOIN(", ", TRUE, IF($B$42:$B$55=K53, $J$42:$J$55, ""))</f>
        <v/>
      </c>
    </row>
    <row r="54" spans="1:17" x14ac:dyDescent="0.3">
      <c r="B54" t="str">
        <f t="shared" si="12"/>
        <v>Aries\Mesha</v>
      </c>
      <c r="E54" t="str">
        <f t="shared" si="13"/>
        <v>Ascendant</v>
      </c>
      <c r="F54">
        <f t="shared" si="14"/>
        <v>1.9245024999999956</v>
      </c>
      <c r="G54">
        <f t="shared" si="15"/>
        <v>1</v>
      </c>
      <c r="J54" t="s">
        <v>100</v>
      </c>
    </row>
    <row r="60" spans="1:17" ht="15" thickBot="1" x14ac:dyDescent="0.35">
      <c r="K60" s="28" t="s">
        <v>105</v>
      </c>
    </row>
    <row r="61" spans="1:17" x14ac:dyDescent="0.3">
      <c r="A61" s="33"/>
      <c r="B61" s="34"/>
      <c r="C61" s="35"/>
      <c r="D61" s="36"/>
      <c r="E61" s="34"/>
      <c r="F61" s="37"/>
      <c r="G61" s="38" t="s">
        <v>15</v>
      </c>
      <c r="H61" s="39" t="s">
        <v>106</v>
      </c>
      <c r="I61" s="34"/>
      <c r="J61" s="34"/>
      <c r="K61" s="34"/>
      <c r="L61" s="34"/>
      <c r="M61" s="40"/>
    </row>
    <row r="62" spans="1:17" x14ac:dyDescent="0.3">
      <c r="A62" s="41" t="s">
        <v>72</v>
      </c>
      <c r="B62" s="42">
        <v>143.58619999999999</v>
      </c>
      <c r="C62" s="43" t="s">
        <v>126</v>
      </c>
      <c r="D62" s="44" t="s">
        <v>1</v>
      </c>
      <c r="E62"/>
      <c r="F62" s="45"/>
      <c r="G62" s="46">
        <f>--_xlfn.NUMBERVALUE(MID(C63,SEARCH(":",C63)+1,LEN(C63)))*1</f>
        <v>2.4710610000000002</v>
      </c>
      <c r="H62" s="43">
        <f>B62</f>
        <v>143.58619999999999</v>
      </c>
      <c r="I62"/>
      <c r="J62">
        <v>1</v>
      </c>
      <c r="K62" t="s">
        <v>101</v>
      </c>
      <c r="L62">
        <v>0</v>
      </c>
      <c r="M62" s="47"/>
    </row>
    <row r="63" spans="1:17" x14ac:dyDescent="0.3">
      <c r="A63" s="41" t="s">
        <v>73</v>
      </c>
      <c r="B63" s="18">
        <v>73.626900000000006</v>
      </c>
      <c r="C63" s="43" t="s">
        <v>127</v>
      </c>
      <c r="D63" s="44" t="s">
        <v>2</v>
      </c>
      <c r="E63"/>
      <c r="F63" s="1"/>
      <c r="G63" s="46">
        <f>--_xlfn.NUMBERVALUE(MID(C64,SEARCH(":",C64)+1,LEN(C64)))*1</f>
        <v>219.68419700000001</v>
      </c>
      <c r="H63" s="43">
        <f t="shared" ref="H63:H73" si="16">B63</f>
        <v>73.626900000000006</v>
      </c>
      <c r="I63"/>
      <c r="J63">
        <v>2</v>
      </c>
      <c r="K63" t="s">
        <v>102</v>
      </c>
      <c r="L63">
        <f>L62+30</f>
        <v>30</v>
      </c>
      <c r="M63" s="47"/>
    </row>
    <row r="64" spans="1:17" x14ac:dyDescent="0.3">
      <c r="A64" s="41" t="s">
        <v>74</v>
      </c>
      <c r="B64" s="18">
        <v>50.981000000000002</v>
      </c>
      <c r="C64" s="43" t="s">
        <v>128</v>
      </c>
      <c r="D64" s="44" t="s">
        <v>3</v>
      </c>
      <c r="E64"/>
      <c r="F64" s="48">
        <f ca="1">IF(Horoscope!M3="", TODAY(),Horoscope!M3)</f>
        <v>45763</v>
      </c>
      <c r="G64" s="46">
        <f>--_xlfn.NUMBERVALUE(MID(C67,SEARCH(":",C67)+1,LEN(C67)))*1</f>
        <v>95.076235999999994</v>
      </c>
      <c r="H64" s="43">
        <f t="shared" si="16"/>
        <v>50.981000000000002</v>
      </c>
      <c r="I64" s="49"/>
      <c r="J64">
        <v>3</v>
      </c>
      <c r="K64" t="s">
        <v>61</v>
      </c>
      <c r="L64">
        <f t="shared" ref="L64:L73" si="17">L63+30</f>
        <v>60</v>
      </c>
      <c r="M64" s="47"/>
    </row>
    <row r="65" spans="1:13" x14ac:dyDescent="0.3">
      <c r="A65" s="41" t="s">
        <v>75</v>
      </c>
      <c r="B65" s="18">
        <v>170.15280000000001</v>
      </c>
      <c r="C65" s="43" t="s">
        <v>129</v>
      </c>
      <c r="D65" s="44" t="s">
        <v>4</v>
      </c>
      <c r="E65"/>
      <c r="F65" s="50" t="str">
        <f ca="1">TEXT(IF(Horoscope!N3="", 0.25,Horoscope!N3),"HH:MM:SS")</f>
        <v>15:58:30</v>
      </c>
      <c r="G65" s="46">
        <f>--_xlfn.NUMBERVALUE(MID(C65,SEARCH(":",C65)+1,LEN(C65)))*1</f>
        <v>335.90444200000002</v>
      </c>
      <c r="H65" s="43">
        <f t="shared" si="16"/>
        <v>170.15280000000001</v>
      </c>
      <c r="I65"/>
      <c r="J65">
        <v>4</v>
      </c>
      <c r="K65" t="s">
        <v>62</v>
      </c>
      <c r="L65">
        <f t="shared" si="17"/>
        <v>90</v>
      </c>
      <c r="M65" s="47"/>
    </row>
    <row r="66" spans="1:13" x14ac:dyDescent="0.3">
      <c r="A66" s="41" t="s">
        <v>76</v>
      </c>
      <c r="B66" s="18">
        <v>91.685199999999995</v>
      </c>
      <c r="C66" s="43" t="s">
        <v>130</v>
      </c>
      <c r="D66" s="44" t="s">
        <v>5</v>
      </c>
      <c r="E66" t="s">
        <v>9</v>
      </c>
      <c r="F66" s="51">
        <f>F7</f>
        <v>77.416700000000006</v>
      </c>
      <c r="G66" s="46">
        <f>--_xlfn.NUMBERVALUE(MID(C68,SEARCH(":",C68)+1,LEN(C68)))*1</f>
        <v>54.372089000000003</v>
      </c>
      <c r="H66" s="43">
        <f t="shared" si="16"/>
        <v>91.685199999999995</v>
      </c>
      <c r="I66"/>
      <c r="J66">
        <v>5</v>
      </c>
      <c r="K66" t="s">
        <v>63</v>
      </c>
      <c r="L66">
        <f t="shared" si="17"/>
        <v>120</v>
      </c>
      <c r="M66" s="47"/>
    </row>
    <row r="67" spans="1:13" x14ac:dyDescent="0.3">
      <c r="A67" s="41" t="s">
        <v>77</v>
      </c>
      <c r="B67" s="42">
        <v>175.41839999999999</v>
      </c>
      <c r="C67" s="43" t="s">
        <v>131</v>
      </c>
      <c r="D67" s="44" t="s">
        <v>0</v>
      </c>
      <c r="E67" t="s">
        <v>10</v>
      </c>
      <c r="F67" s="51">
        <f>F8</f>
        <v>28.75</v>
      </c>
      <c r="G67" s="46">
        <f>--_xlfn.NUMBERVALUE(MID(C66,SEARCH(":",C66)+1,LEN(C66)))*1</f>
        <v>330.63883399999997</v>
      </c>
      <c r="H67" s="43">
        <f t="shared" si="16"/>
        <v>175.41839999999999</v>
      </c>
      <c r="I67"/>
      <c r="J67">
        <v>6</v>
      </c>
      <c r="K67" t="s">
        <v>64</v>
      </c>
      <c r="L67">
        <f t="shared" si="17"/>
        <v>150</v>
      </c>
      <c r="M67" s="47"/>
    </row>
    <row r="68" spans="1:13" x14ac:dyDescent="0.3">
      <c r="A68" s="41" t="s">
        <v>78</v>
      </c>
      <c r="B68" s="18">
        <v>173.97989999999999</v>
      </c>
      <c r="C68" s="43" t="s">
        <v>132</v>
      </c>
      <c r="D68" s="44" t="s">
        <v>6</v>
      </c>
      <c r="E68" t="s">
        <v>71</v>
      </c>
      <c r="F68" s="50">
        <f>F9</f>
        <v>5.5</v>
      </c>
      <c r="G68" s="46">
        <f t="shared" ref="G68:G73" si="18">--_xlfn.NUMBERVALUE(MID(C69,SEARCH(":",C69)+1,LEN(C69)))*1</f>
        <v>332.07735100000002</v>
      </c>
      <c r="H68" s="43">
        <f t="shared" si="16"/>
        <v>173.97989999999999</v>
      </c>
      <c r="I68"/>
      <c r="J68">
        <v>7</v>
      </c>
      <c r="K68" t="s">
        <v>65</v>
      </c>
      <c r="L68">
        <f t="shared" si="17"/>
        <v>180</v>
      </c>
      <c r="M68" s="47"/>
    </row>
    <row r="69" spans="1:13" x14ac:dyDescent="0.3">
      <c r="A69" s="41" t="s">
        <v>79</v>
      </c>
      <c r="B69" s="18">
        <v>114.74850000000001</v>
      </c>
      <c r="C69" s="43" t="s">
        <v>133</v>
      </c>
      <c r="D69" s="44" t="s">
        <v>12</v>
      </c>
      <c r="E69"/>
      <c r="F69" s="1"/>
      <c r="G69" s="46">
        <f t="shared" si="18"/>
        <v>31.308778</v>
      </c>
      <c r="H69" s="43">
        <f t="shared" si="16"/>
        <v>114.74850000000001</v>
      </c>
      <c r="I69"/>
      <c r="J69">
        <v>8</v>
      </c>
      <c r="K69" t="s">
        <v>66</v>
      </c>
      <c r="L69">
        <f t="shared" si="17"/>
        <v>210</v>
      </c>
      <c r="M69" s="47"/>
    </row>
    <row r="70" spans="1:13" x14ac:dyDescent="0.3">
      <c r="A70" s="41" t="s">
        <v>80</v>
      </c>
      <c r="B70" s="18">
        <v>169.65209999999999</v>
      </c>
      <c r="C70" s="43" t="s">
        <v>134</v>
      </c>
      <c r="D70" s="44" t="s">
        <v>13</v>
      </c>
      <c r="E70"/>
      <c r="F70" s="1"/>
      <c r="G70" s="46">
        <f t="shared" si="18"/>
        <v>336.40512799999999</v>
      </c>
      <c r="H70" s="43">
        <f t="shared" si="16"/>
        <v>169.65209999999999</v>
      </c>
      <c r="I70"/>
      <c r="J70">
        <v>9</v>
      </c>
      <c r="K70" t="s">
        <v>67</v>
      </c>
      <c r="L70">
        <f t="shared" si="17"/>
        <v>240</v>
      </c>
      <c r="M70" s="47"/>
    </row>
    <row r="71" spans="1:13" x14ac:dyDescent="0.3">
      <c r="A71" s="41" t="s">
        <v>81</v>
      </c>
      <c r="B71" s="18">
        <v>133.47239999999999</v>
      </c>
      <c r="C71" s="43" t="s">
        <v>135</v>
      </c>
      <c r="D71" s="44" t="s">
        <v>14</v>
      </c>
      <c r="E71"/>
      <c r="F71" s="1"/>
      <c r="G71" s="46">
        <f t="shared" si="18"/>
        <v>279.529697</v>
      </c>
      <c r="H71" s="43">
        <f t="shared" si="16"/>
        <v>133.47239999999999</v>
      </c>
      <c r="I71"/>
      <c r="J71">
        <v>10</v>
      </c>
      <c r="K71" t="s">
        <v>68</v>
      </c>
      <c r="L71">
        <f t="shared" si="17"/>
        <v>270</v>
      </c>
      <c r="M71" s="47"/>
    </row>
    <row r="72" spans="1:13" x14ac:dyDescent="0.3">
      <c r="A72" s="41" t="s">
        <v>82</v>
      </c>
      <c r="B72" s="18">
        <v>174.3535</v>
      </c>
      <c r="C72" s="43" t="s">
        <v>136</v>
      </c>
      <c r="D72" s="44" t="s">
        <v>7</v>
      </c>
      <c r="E72"/>
      <c r="G72" s="46">
        <f t="shared" si="18"/>
        <v>331.703757</v>
      </c>
      <c r="H72" s="43">
        <f t="shared" si="16"/>
        <v>174.3535</v>
      </c>
      <c r="I72"/>
      <c r="J72">
        <v>11</v>
      </c>
      <c r="K72" t="s">
        <v>69</v>
      </c>
      <c r="L72">
        <f t="shared" si="17"/>
        <v>300</v>
      </c>
      <c r="M72" s="47"/>
    </row>
    <row r="73" spans="1:13" x14ac:dyDescent="0.3">
      <c r="A73" s="41" t="s">
        <v>83</v>
      </c>
      <c r="B73" s="18">
        <v>5.6464999999999996</v>
      </c>
      <c r="C73" s="43" t="s">
        <v>137</v>
      </c>
      <c r="D73" s="44" t="s">
        <v>8</v>
      </c>
      <c r="E73"/>
      <c r="G73" s="46">
        <f t="shared" si="18"/>
        <v>151.703757</v>
      </c>
      <c r="H73" s="43">
        <f t="shared" si="16"/>
        <v>5.6464999999999996</v>
      </c>
      <c r="I73"/>
      <c r="J73">
        <v>12</v>
      </c>
      <c r="K73" t="s">
        <v>70</v>
      </c>
      <c r="L73">
        <f t="shared" si="17"/>
        <v>330</v>
      </c>
      <c r="M73" s="47"/>
    </row>
    <row r="74" spans="1:13" x14ac:dyDescent="0.3">
      <c r="A74" s="41" t="s">
        <v>84</v>
      </c>
      <c r="B74" s="18">
        <v>217.2131</v>
      </c>
      <c r="C74" s="43" t="s">
        <v>138</v>
      </c>
      <c r="D74" s="44" t="s">
        <v>49</v>
      </c>
      <c r="E74"/>
      <c r="F74" s="43"/>
      <c r="G74" s="46">
        <f>--_xlfn.NUMBERVALUE(MID(C62,SEARCH(":",C62)+1,LEN(C62)))*1</f>
        <v>146.05726799999999</v>
      </c>
      <c r="H74" s="43"/>
      <c r="I74"/>
      <c r="M74" s="47"/>
    </row>
    <row r="75" spans="1:13" x14ac:dyDescent="0.3">
      <c r="A75" s="41" t="s">
        <v>85</v>
      </c>
      <c r="B75">
        <v>180</v>
      </c>
      <c r="C75" s="43"/>
      <c r="D75" s="44"/>
      <c r="E75"/>
      <c r="F75" s="44"/>
      <c r="H75" s="43"/>
      <c r="I75"/>
      <c r="M75" s="47"/>
    </row>
    <row r="76" spans="1:13" x14ac:dyDescent="0.3">
      <c r="A76" s="41"/>
      <c r="C76" s="43"/>
      <c r="D76" s="44"/>
      <c r="E76"/>
      <c r="F76" s="44"/>
      <c r="H76" s="43"/>
      <c r="I76" s="43"/>
      <c r="J76" s="52"/>
      <c r="M76" s="47"/>
    </row>
    <row r="77" spans="1:13" ht="15" thickBot="1" x14ac:dyDescent="0.3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6"/>
    </row>
    <row r="80" spans="1:13" x14ac:dyDescent="0.3">
      <c r="B80" s="27" t="s">
        <v>59</v>
      </c>
      <c r="C80" s="27" t="s">
        <v>43</v>
      </c>
      <c r="D80" s="27" t="s">
        <v>44</v>
      </c>
      <c r="E80" s="27"/>
      <c r="F80" s="27" t="s">
        <v>15</v>
      </c>
      <c r="G80" s="27" t="s">
        <v>107</v>
      </c>
      <c r="H80" s="27"/>
      <c r="I80" s="27"/>
      <c r="J80" s="27" t="s">
        <v>103</v>
      </c>
      <c r="K80" s="9"/>
      <c r="L80" s="9"/>
      <c r="M80" s="9"/>
    </row>
    <row r="81" spans="1:12" x14ac:dyDescent="0.3">
      <c r="A81">
        <f>VLOOKUP(B81,$K$3:$L$14,2,0)</f>
        <v>0</v>
      </c>
      <c r="B81" t="str">
        <f>IF(F81 &lt;30.01, "Aries\Mesha", IF( F81 &lt; 60.01, "Taurus\Vrushaba", IF( F81 &lt;90.01, "Gemini\Midhuna", IF( F81 &lt;120.01, "Cancer\Karkaataka", IF( F81 &lt;150.01, "Leo\Simham", IF( F81 &lt;180.01, "Virgo\Kanya", IF( F81 &lt; 210.01, "Libra\Tula", IF( F81 &lt; 240.01, "Scorpio\Vrushikam", IF( F81 &lt; 270.01, "Saggitarius\Dhanassu", IF( F81 &lt; 300.01, "Capricorn\Makara", IF( F81 &lt; 330.01, "Acquarious\Kumbha", "Pieces\Meena")))))))))))</f>
        <v>Aries\Mesha</v>
      </c>
      <c r="C81" t="str">
        <f>VLOOKUP(ROUNDUP(H81/4,0),$P$25:$Q$51,2,0)</f>
        <v>Anuraadha</v>
      </c>
      <c r="D81">
        <f t="shared" ref="D81:D93" si="19">4-((VLOOKUP(ROUNDUP(H81/4,0),$P$25:$Q$51,1,0)*4)-H81)</f>
        <v>1</v>
      </c>
      <c r="E81" t="s">
        <v>1</v>
      </c>
      <c r="F81" s="13">
        <f>G62</f>
        <v>2.4710610000000002</v>
      </c>
      <c r="G81" s="5">
        <f>H62</f>
        <v>143.58619999999999</v>
      </c>
      <c r="H81">
        <f t="shared" ref="H81:H87" si="20">ROUNDUP(F81*9/30,0)</f>
        <v>1</v>
      </c>
      <c r="I81" s="29" t="str">
        <f>ROUND((F81-ROUNDDOWN(F81,0))*60,0)&amp;"'"</f>
        <v>28'</v>
      </c>
      <c r="J81" t="str">
        <f>LEFT(E81,2)&amp;"-"&amp;ROUNDDOWN((F81-A81),0)&amp;"°"&amp;" "&amp;I81</f>
        <v>Su-2° 28'</v>
      </c>
      <c r="K81" t="s">
        <v>101</v>
      </c>
      <c r="L81" t="str" cm="1">
        <f t="array" ref="L81">_xlfn.TEXTJOIN(", ", TRUE, IF($B$81:$B$94=K81, $J$81:$J$94, ""))</f>
        <v>Su-2° 28'</v>
      </c>
    </row>
    <row r="82" spans="1:12" x14ac:dyDescent="0.3">
      <c r="A82">
        <f t="shared" ref="A82:A93" si="21">VLOOKUP(B82,$K$3:$L$14,2,0)</f>
        <v>210</v>
      </c>
      <c r="B82" t="str">
        <f t="shared" ref="B82:B93" si="22">IF(F82 &lt;30.01, "Aries\Mesha", IF( F82 &lt; 60.01, "Taurus\Vrushaba", IF( F82 &lt;90.01, "Gemini\Midhuna", IF( F82 &lt;120.01, "Cancer\Karkaataka", IF( F82 &lt;150.01, "Leo\Simham", IF( F82 &lt;180.01, "Virgo\Kanya", IF( F82 &lt; 210.01, "Libra\Tula", IF( F82 &lt; 240.01, "Scorpio\Vrushikam", IF( F82 &lt; 270.01, "Saggitarius\Dhanassu", IF( F82 &lt; 300.01, "Capricorn\Makara", IF( F82 &lt; 330.01, "Acquarious\Kumbha", "Pieces\Meena")))))))))))</f>
        <v>Scorpio\Vrushikam</v>
      </c>
      <c r="C82" t="str">
        <f t="shared" ref="C82:C93" si="23">VLOOKUP(ROUNDUP(H82/4,0),$P$25:$Q$51,2,0)</f>
        <v>Pubba</v>
      </c>
      <c r="D82">
        <f t="shared" si="19"/>
        <v>2</v>
      </c>
      <c r="E82" t="s">
        <v>2</v>
      </c>
      <c r="F82" s="13">
        <f t="shared" ref="F82:G93" si="24">G63</f>
        <v>219.68419700000001</v>
      </c>
      <c r="G82" s="5">
        <f t="shared" si="24"/>
        <v>73.626900000000006</v>
      </c>
      <c r="H82">
        <f t="shared" si="20"/>
        <v>66</v>
      </c>
      <c r="I82" s="29" t="str">
        <f t="shared" ref="I82:I93" si="25">ROUND((F82-ROUNDDOWN(F82,0))*60,0)&amp;"'"</f>
        <v>41'</v>
      </c>
      <c r="J82" t="str">
        <f t="shared" ref="J82:J93" si="26">LEFT(E82,2)&amp;"-"&amp;ROUNDDOWN((F82-A82),0)&amp;"°"&amp;" "&amp;I82</f>
        <v>Mo-9° 41'</v>
      </c>
      <c r="K82" t="s">
        <v>102</v>
      </c>
      <c r="L82" t="str" cm="1">
        <f t="array" ref="L82">_xlfn.TEXTJOIN(", ", TRUE, IF($B$81:$B$94=K82, $J$81:$J$94, ""))</f>
        <v>Ju-24° 22', Ur-1° 19'</v>
      </c>
    </row>
    <row r="83" spans="1:12" x14ac:dyDescent="0.3">
      <c r="A83">
        <f t="shared" si="21"/>
        <v>90</v>
      </c>
      <c r="B83" t="str">
        <f t="shared" si="22"/>
        <v>Cancer\Karkaataka</v>
      </c>
      <c r="C83" t="str">
        <f t="shared" si="23"/>
        <v>Hasta</v>
      </c>
      <c r="D83">
        <f t="shared" si="19"/>
        <v>1</v>
      </c>
      <c r="E83" t="s">
        <v>3</v>
      </c>
      <c r="F83" s="13">
        <f t="shared" si="24"/>
        <v>95.076235999999994</v>
      </c>
      <c r="G83" s="5">
        <f t="shared" si="24"/>
        <v>50.981000000000002</v>
      </c>
      <c r="H83">
        <f t="shared" si="20"/>
        <v>29</v>
      </c>
      <c r="I83" s="29" t="str">
        <f t="shared" si="25"/>
        <v>5'</v>
      </c>
      <c r="J83" t="str">
        <f t="shared" si="26"/>
        <v>Ma-5° 5'</v>
      </c>
      <c r="K83" t="s">
        <v>61</v>
      </c>
      <c r="L83" t="str" cm="1">
        <f t="array" ref="L83">_xlfn.TEXTJOIN(", ", TRUE, IF($B$81:$B$94=K83, $J$81:$J$94, ""))</f>
        <v/>
      </c>
    </row>
    <row r="84" spans="1:12" x14ac:dyDescent="0.3">
      <c r="A84">
        <f t="shared" si="21"/>
        <v>330</v>
      </c>
      <c r="B84" t="str">
        <f t="shared" si="22"/>
        <v>Pieces\Meena</v>
      </c>
      <c r="C84" t="str">
        <f t="shared" si="23"/>
        <v>Uttara</v>
      </c>
      <c r="D84">
        <f t="shared" si="19"/>
        <v>1</v>
      </c>
      <c r="E84" t="s">
        <v>4</v>
      </c>
      <c r="F84" s="13">
        <f t="shared" si="24"/>
        <v>335.90444200000002</v>
      </c>
      <c r="G84" s="5">
        <f t="shared" si="24"/>
        <v>170.15280000000001</v>
      </c>
      <c r="H84">
        <f t="shared" si="20"/>
        <v>101</v>
      </c>
      <c r="I84" s="29" t="str">
        <f t="shared" si="25"/>
        <v>54'</v>
      </c>
      <c r="J84" t="str">
        <f t="shared" si="26"/>
        <v>Me-5° 54'</v>
      </c>
      <c r="K84" t="s">
        <v>62</v>
      </c>
      <c r="L84" t="str" cm="1">
        <f t="array" ref="L84">_xlfn.TEXTJOIN(", ", TRUE, IF($B$81:$B$94=K84, $J$81:$J$94, ""))</f>
        <v>Ma-5° 5'</v>
      </c>
    </row>
    <row r="85" spans="1:12" x14ac:dyDescent="0.3">
      <c r="A85">
        <f t="shared" si="21"/>
        <v>30</v>
      </c>
      <c r="B85" t="str">
        <f t="shared" si="22"/>
        <v>Taurus\Vrushaba</v>
      </c>
      <c r="C85" t="str">
        <f t="shared" si="23"/>
        <v>Bharani</v>
      </c>
      <c r="D85">
        <f t="shared" si="19"/>
        <v>1</v>
      </c>
      <c r="E85" t="s">
        <v>5</v>
      </c>
      <c r="F85" s="13">
        <f t="shared" si="24"/>
        <v>54.372089000000003</v>
      </c>
      <c r="G85" s="5">
        <f t="shared" si="24"/>
        <v>91.685199999999995</v>
      </c>
      <c r="H85">
        <f t="shared" si="20"/>
        <v>17</v>
      </c>
      <c r="I85" s="29" t="str">
        <f t="shared" si="25"/>
        <v>22'</v>
      </c>
      <c r="J85" t="str">
        <f t="shared" si="26"/>
        <v>Ju-24° 22'</v>
      </c>
      <c r="K85" t="s">
        <v>63</v>
      </c>
      <c r="L85" t="str" cm="1">
        <f t="array" ref="L85">_xlfn.TEXTJOIN(", ", TRUE, IF($B$81:$B$94=K85, $J$81:$J$94, ""))</f>
        <v>As-26° 3'</v>
      </c>
    </row>
    <row r="86" spans="1:12" x14ac:dyDescent="0.3">
      <c r="A86">
        <f t="shared" si="21"/>
        <v>330</v>
      </c>
      <c r="B86" t="str">
        <f t="shared" si="22"/>
        <v>Pieces\Meena</v>
      </c>
      <c r="C86" t="str">
        <f t="shared" si="23"/>
        <v>Uttaraa bhadra</v>
      </c>
      <c r="D86">
        <f t="shared" si="19"/>
        <v>4</v>
      </c>
      <c r="E86" t="s">
        <v>0</v>
      </c>
      <c r="F86" s="13">
        <f t="shared" si="24"/>
        <v>330.63883399999997</v>
      </c>
      <c r="G86" s="5">
        <f t="shared" si="24"/>
        <v>175.41839999999999</v>
      </c>
      <c r="H86">
        <f t="shared" si="20"/>
        <v>100</v>
      </c>
      <c r="I86" s="29" t="str">
        <f t="shared" si="25"/>
        <v>38'</v>
      </c>
      <c r="J86" t="str">
        <f t="shared" si="26"/>
        <v>Ve-0° 38'</v>
      </c>
      <c r="K86" t="s">
        <v>64</v>
      </c>
      <c r="L86" t="str" cm="1">
        <f t="array" ref="L86">_xlfn.TEXTJOIN(", ", TRUE, IF($B$81:$B$94=K86, $J$81:$J$94, ""))</f>
        <v>Ke-1° 42'</v>
      </c>
    </row>
    <row r="87" spans="1:12" x14ac:dyDescent="0.3">
      <c r="A87">
        <f t="shared" si="21"/>
        <v>330</v>
      </c>
      <c r="B87" t="str">
        <f t="shared" si="22"/>
        <v>Pieces\Meena</v>
      </c>
      <c r="C87" t="str">
        <f t="shared" si="23"/>
        <v>Uttaraa bhadra</v>
      </c>
      <c r="D87">
        <f t="shared" si="19"/>
        <v>4</v>
      </c>
      <c r="E87" t="s">
        <v>6</v>
      </c>
      <c r="F87" s="13">
        <f t="shared" si="24"/>
        <v>332.07735100000002</v>
      </c>
      <c r="G87" s="5">
        <f t="shared" si="24"/>
        <v>173.97989999999999</v>
      </c>
      <c r="H87">
        <f t="shared" si="20"/>
        <v>100</v>
      </c>
      <c r="I87" s="29" t="str">
        <f t="shared" si="25"/>
        <v>5'</v>
      </c>
      <c r="J87" t="str">
        <f t="shared" si="26"/>
        <v>Sa-2° 5'</v>
      </c>
      <c r="K87" t="s">
        <v>65</v>
      </c>
      <c r="L87" t="str" cm="1">
        <f t="array" ref="L87">_xlfn.TEXTJOIN(", ", TRUE, IF($B$81:$B$94=K87, $J$81:$J$94, ""))</f>
        <v/>
      </c>
    </row>
    <row r="88" spans="1:12" x14ac:dyDescent="0.3">
      <c r="A88">
        <f t="shared" si="21"/>
        <v>30</v>
      </c>
      <c r="B88" t="str">
        <f t="shared" si="22"/>
        <v>Taurus\Vrushaba</v>
      </c>
      <c r="C88" t="str">
        <f t="shared" si="23"/>
        <v>Uttaraa bhadra</v>
      </c>
      <c r="D88">
        <f t="shared" si="19"/>
        <v>4</v>
      </c>
      <c r="E88" t="s">
        <v>12</v>
      </c>
      <c r="F88" s="13">
        <f t="shared" si="24"/>
        <v>31.308778</v>
      </c>
      <c r="G88" s="5">
        <f t="shared" si="24"/>
        <v>114.74850000000001</v>
      </c>
      <c r="H88">
        <f>ROUNDUP(F91*9/30,0)</f>
        <v>100</v>
      </c>
      <c r="I88" s="29" t="str">
        <f t="shared" si="25"/>
        <v>19'</v>
      </c>
      <c r="J88" t="str">
        <f t="shared" si="26"/>
        <v>Ur-1° 19'</v>
      </c>
      <c r="K88" t="s">
        <v>66</v>
      </c>
      <c r="L88" t="str" cm="1">
        <f t="array" ref="L88">_xlfn.TEXTJOIN(", ", TRUE, IF($B$81:$B$94=K88, $J$81:$J$94, ""))</f>
        <v>Mo-9° 41'</v>
      </c>
    </row>
    <row r="89" spans="1:12" x14ac:dyDescent="0.3">
      <c r="A89">
        <f t="shared" si="21"/>
        <v>330</v>
      </c>
      <c r="B89" t="str">
        <f t="shared" si="22"/>
        <v>Pieces\Meena</v>
      </c>
      <c r="C89" t="str">
        <f t="shared" si="23"/>
        <v>Moolaa</v>
      </c>
      <c r="D89">
        <f t="shared" si="19"/>
        <v>2</v>
      </c>
      <c r="E89" t="s">
        <v>13</v>
      </c>
      <c r="F89" s="13">
        <f t="shared" si="24"/>
        <v>336.40512799999999</v>
      </c>
      <c r="G89" s="5">
        <f t="shared" si="24"/>
        <v>169.65209999999999</v>
      </c>
      <c r="H89">
        <f>ROUNDUP(F92*9/30,0)</f>
        <v>46</v>
      </c>
      <c r="I89" s="29" t="str">
        <f t="shared" si="25"/>
        <v>24'</v>
      </c>
      <c r="J89" t="str">
        <f t="shared" si="26"/>
        <v>Ne-6° 24'</v>
      </c>
      <c r="K89" t="s">
        <v>67</v>
      </c>
      <c r="L89" t="str" cm="1">
        <f t="array" ref="L89">_xlfn.TEXTJOIN(", ", TRUE, IF($B$81:$B$94=K89, $J$81:$J$94, ""))</f>
        <v/>
      </c>
    </row>
    <row r="90" spans="1:12" x14ac:dyDescent="0.3">
      <c r="A90">
        <f t="shared" si="21"/>
        <v>270</v>
      </c>
      <c r="B90" t="str">
        <f t="shared" si="22"/>
        <v>Capricorn\Makara</v>
      </c>
      <c r="C90" t="str">
        <f t="shared" si="23"/>
        <v>Maghaa</v>
      </c>
      <c r="D90">
        <f t="shared" si="19"/>
        <v>4</v>
      </c>
      <c r="E90" t="s">
        <v>14</v>
      </c>
      <c r="F90" s="13">
        <f t="shared" si="24"/>
        <v>279.529697</v>
      </c>
      <c r="G90" s="5">
        <f t="shared" si="24"/>
        <v>133.47239999999999</v>
      </c>
      <c r="H90">
        <f>ROUNDUP(F93*9/30,0)</f>
        <v>44</v>
      </c>
      <c r="I90" s="29" t="str">
        <f t="shared" si="25"/>
        <v>32'</v>
      </c>
      <c r="J90" t="str">
        <f t="shared" si="26"/>
        <v>Pl-9° 32'</v>
      </c>
      <c r="K90" t="s">
        <v>68</v>
      </c>
      <c r="L90" t="str" cm="1">
        <f t="array" ref="L90">_xlfn.TEXTJOIN(", ", TRUE, IF($B$81:$B$94=K90, $J$81:$J$94, ""))</f>
        <v>Pl-9° 32'</v>
      </c>
    </row>
    <row r="91" spans="1:12" x14ac:dyDescent="0.3">
      <c r="A91">
        <f t="shared" si="21"/>
        <v>330</v>
      </c>
      <c r="B91" t="str">
        <f t="shared" si="22"/>
        <v>Pieces\Meena</v>
      </c>
      <c r="C91" t="str">
        <f t="shared" si="23"/>
        <v>Ashlesha</v>
      </c>
      <c r="D91">
        <f t="shared" si="19"/>
        <v>2</v>
      </c>
      <c r="E91" t="s">
        <v>7</v>
      </c>
      <c r="F91" s="13">
        <f t="shared" si="24"/>
        <v>331.703757</v>
      </c>
      <c r="G91" s="5">
        <f t="shared" si="24"/>
        <v>174.3535</v>
      </c>
      <c r="H91">
        <f>ROUNDUP(F88*9/30,0)</f>
        <v>10</v>
      </c>
      <c r="I91" s="29" t="str">
        <f t="shared" si="25"/>
        <v>42'</v>
      </c>
      <c r="J91" t="str">
        <f t="shared" si="26"/>
        <v>Ra-1° 42'</v>
      </c>
      <c r="K91" t="s">
        <v>69</v>
      </c>
      <c r="L91" t="str" cm="1">
        <f t="array" ref="L91">_xlfn.TEXTJOIN(", ", TRUE, IF($B$81:$B$94=K91, $J$81:$J$94, ""))</f>
        <v/>
      </c>
    </row>
    <row r="92" spans="1:12" x14ac:dyDescent="0.3">
      <c r="A92">
        <f t="shared" si="21"/>
        <v>150</v>
      </c>
      <c r="B92" t="str">
        <f t="shared" si="22"/>
        <v>Virgo\Kanya</v>
      </c>
      <c r="C92" t="str">
        <f t="shared" si="23"/>
        <v>Uttara</v>
      </c>
      <c r="D92">
        <f t="shared" si="19"/>
        <v>1</v>
      </c>
      <c r="E92" t="s">
        <v>8</v>
      </c>
      <c r="F92" s="13">
        <f t="shared" si="24"/>
        <v>151.703757</v>
      </c>
      <c r="G92" s="5">
        <f t="shared" si="24"/>
        <v>5.6464999999999996</v>
      </c>
      <c r="H92">
        <f>ROUNDUP(F89*9/30,0)</f>
        <v>101</v>
      </c>
      <c r="I92" s="29" t="str">
        <f t="shared" si="25"/>
        <v>42'</v>
      </c>
      <c r="J92" t="str">
        <f t="shared" si="26"/>
        <v>Ke-1° 42'</v>
      </c>
      <c r="K92" t="s">
        <v>70</v>
      </c>
      <c r="L92" t="str" cm="1">
        <f t="array" ref="L92">_xlfn.TEXTJOIN(", ", TRUE, IF($B$81:$B$94=K92, $J$81:$J$94, ""))</f>
        <v>Me-5° 54', Ve-0° 38', Sa-2° 5', Ne-6° 24', Ra-1° 42'</v>
      </c>
    </row>
    <row r="93" spans="1:12" x14ac:dyDescent="0.3">
      <c r="A93">
        <f t="shared" si="21"/>
        <v>120</v>
      </c>
      <c r="B93" t="str">
        <f t="shared" si="22"/>
        <v>Leo\Simham</v>
      </c>
      <c r="C93" t="str">
        <f t="shared" si="23"/>
        <v>Shatabhisha</v>
      </c>
      <c r="D93">
        <f t="shared" si="19"/>
        <v>4</v>
      </c>
      <c r="E93" t="s">
        <v>49</v>
      </c>
      <c r="F93" s="13">
        <f t="shared" si="24"/>
        <v>146.05726799999999</v>
      </c>
      <c r="G93" s="5"/>
      <c r="H93">
        <f>ROUNDUP(F90*9/30,0)</f>
        <v>84</v>
      </c>
      <c r="I93" s="29" t="str">
        <f t="shared" si="25"/>
        <v>3'</v>
      </c>
      <c r="J93" t="str">
        <f t="shared" si="26"/>
        <v>As-26° 3'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4762-50B0-4182-809C-CF65F4CDEB6A}">
  <sheetPr codeName="Sheet3"/>
  <dimension ref="A1:K37"/>
  <sheetViews>
    <sheetView workbookViewId="0">
      <selection activeCell="K2" sqref="K2"/>
    </sheetView>
  </sheetViews>
  <sheetFormatPr defaultRowHeight="14.4" x14ac:dyDescent="0.3"/>
  <cols>
    <col min="1" max="1" width="21.6640625" style="20" bestFit="1" customWidth="1"/>
    <col min="2" max="2" width="7.6640625" style="20" customWidth="1"/>
    <col min="3" max="3" width="10.33203125" style="21" bestFit="1" customWidth="1"/>
    <col min="4" max="4" width="10.33203125" style="22" bestFit="1" customWidth="1"/>
    <col min="5" max="5" width="11.21875" style="20" bestFit="1" customWidth="1"/>
    <col min="6" max="6" width="10.5546875" style="20" bestFit="1" customWidth="1"/>
    <col min="7" max="7" width="10.21875" style="20" bestFit="1" customWidth="1"/>
    <col min="8" max="9" width="13.77734375" style="20" bestFit="1" customWidth="1"/>
    <col min="10" max="10" width="8.109375" style="20" customWidth="1"/>
    <col min="11" max="11" width="42.6640625" style="20" bestFit="1" customWidth="1"/>
  </cols>
  <sheetData>
    <row r="1" spans="1:11" s="1" customFormat="1" x14ac:dyDescent="0.3">
      <c r="A1" s="24" t="s">
        <v>50</v>
      </c>
      <c r="B1" s="24" t="s">
        <v>51</v>
      </c>
      <c r="C1" s="25" t="s">
        <v>45</v>
      </c>
      <c r="D1" s="26" t="s">
        <v>46</v>
      </c>
      <c r="E1" s="24" t="s">
        <v>47</v>
      </c>
      <c r="F1" s="24" t="s">
        <v>48</v>
      </c>
      <c r="G1" s="24" t="s">
        <v>11</v>
      </c>
      <c r="H1" s="24" t="s">
        <v>52</v>
      </c>
      <c r="I1" s="24" t="s">
        <v>53</v>
      </c>
      <c r="J1" s="24" t="s">
        <v>54</v>
      </c>
      <c r="K1" s="24" t="s">
        <v>109</v>
      </c>
    </row>
    <row r="2" spans="1:11" x14ac:dyDescent="0.3">
      <c r="A2" s="20" t="s">
        <v>108</v>
      </c>
      <c r="B2" s="20" t="s">
        <v>55</v>
      </c>
      <c r="C2" s="21">
        <v>31171</v>
      </c>
      <c r="D2" s="22">
        <v>0.48168980004265904</v>
      </c>
      <c r="E2" s="23">
        <v>-77.416666699999993</v>
      </c>
      <c r="F2" s="23">
        <v>28.75</v>
      </c>
      <c r="G2" s="23">
        <v>-5.5</v>
      </c>
      <c r="H2" s="20" t="s">
        <v>57</v>
      </c>
      <c r="I2" s="20" t="s">
        <v>58</v>
      </c>
      <c r="J2" s="20" t="s">
        <v>56</v>
      </c>
      <c r="K2" s="20" t="s">
        <v>110</v>
      </c>
    </row>
    <row r="3" spans="1:11" x14ac:dyDescent="0.3">
      <c r="A3" s="20" t="s">
        <v>111</v>
      </c>
      <c r="B3" s="20" t="s">
        <v>55</v>
      </c>
      <c r="C3" s="21">
        <v>31902</v>
      </c>
      <c r="D3" s="22">
        <v>0.66666666666666663</v>
      </c>
      <c r="E3" s="23">
        <v>-77.416666699999993</v>
      </c>
      <c r="F3" s="23">
        <v>28.75</v>
      </c>
      <c r="G3" s="23">
        <v>-5.5</v>
      </c>
      <c r="H3" s="20" t="s">
        <v>57</v>
      </c>
      <c r="I3" s="20" t="s">
        <v>58</v>
      </c>
      <c r="J3" s="20" t="s">
        <v>56</v>
      </c>
    </row>
    <row r="4" spans="1:11" x14ac:dyDescent="0.3">
      <c r="E4" s="23"/>
      <c r="F4" s="23"/>
      <c r="G4" s="23"/>
    </row>
    <row r="5" spans="1:11" x14ac:dyDescent="0.3">
      <c r="E5" s="23"/>
      <c r="F5" s="23"/>
      <c r="G5" s="23"/>
    </row>
    <row r="6" spans="1:11" x14ac:dyDescent="0.3">
      <c r="E6" s="23"/>
      <c r="F6" s="23"/>
      <c r="G6" s="23"/>
    </row>
    <row r="7" spans="1:11" x14ac:dyDescent="0.3">
      <c r="E7" s="23"/>
      <c r="F7" s="23"/>
      <c r="G7" s="23"/>
    </row>
    <row r="8" spans="1:11" x14ac:dyDescent="0.3">
      <c r="E8" s="23"/>
      <c r="F8" s="23"/>
      <c r="G8" s="23"/>
    </row>
    <row r="9" spans="1:11" x14ac:dyDescent="0.3">
      <c r="E9" s="23"/>
      <c r="F9" s="23"/>
      <c r="G9" s="23"/>
    </row>
    <row r="10" spans="1:11" x14ac:dyDescent="0.3">
      <c r="E10" s="23"/>
      <c r="F10" s="23"/>
      <c r="G10" s="23"/>
    </row>
    <row r="11" spans="1:11" x14ac:dyDescent="0.3">
      <c r="E11" s="23"/>
      <c r="F11" s="23"/>
      <c r="G11" s="23"/>
    </row>
    <row r="12" spans="1:11" x14ac:dyDescent="0.3">
      <c r="E12" s="23"/>
      <c r="F12" s="23"/>
      <c r="G12" s="23"/>
    </row>
    <row r="13" spans="1:11" x14ac:dyDescent="0.3">
      <c r="E13" s="23"/>
      <c r="F13" s="23"/>
      <c r="G13" s="23"/>
    </row>
    <row r="14" spans="1:11" x14ac:dyDescent="0.3">
      <c r="E14" s="23"/>
      <c r="F14" s="23"/>
      <c r="G14" s="23"/>
    </row>
    <row r="15" spans="1:11" x14ac:dyDescent="0.3">
      <c r="E15" s="23"/>
      <c r="F15" s="23"/>
      <c r="G15" s="23"/>
    </row>
    <row r="16" spans="1:11" x14ac:dyDescent="0.3">
      <c r="E16" s="23"/>
      <c r="F16" s="23"/>
      <c r="G16" s="23"/>
    </row>
    <row r="17" spans="5:7" x14ac:dyDescent="0.3">
      <c r="E17" s="23"/>
      <c r="F17" s="23"/>
      <c r="G17" s="23"/>
    </row>
    <row r="18" spans="5:7" x14ac:dyDescent="0.3">
      <c r="E18" s="23"/>
      <c r="F18" s="23"/>
      <c r="G18" s="23"/>
    </row>
    <row r="19" spans="5:7" x14ac:dyDescent="0.3">
      <c r="E19" s="23"/>
      <c r="F19" s="23"/>
      <c r="G19" s="23"/>
    </row>
    <row r="20" spans="5:7" x14ac:dyDescent="0.3">
      <c r="E20" s="23"/>
      <c r="F20" s="23"/>
      <c r="G20" s="23"/>
    </row>
    <row r="21" spans="5:7" x14ac:dyDescent="0.3">
      <c r="E21" s="23"/>
      <c r="F21" s="23"/>
      <c r="G21" s="23"/>
    </row>
    <row r="22" spans="5:7" x14ac:dyDescent="0.3">
      <c r="E22" s="23"/>
      <c r="F22" s="23"/>
      <c r="G22" s="23"/>
    </row>
    <row r="23" spans="5:7" x14ac:dyDescent="0.3">
      <c r="E23" s="23"/>
      <c r="F23" s="23"/>
      <c r="G23" s="23"/>
    </row>
    <row r="24" spans="5:7" x14ac:dyDescent="0.3">
      <c r="E24" s="23"/>
      <c r="F24" s="23"/>
      <c r="G24" s="23"/>
    </row>
    <row r="25" spans="5:7" x14ac:dyDescent="0.3">
      <c r="E25" s="23"/>
      <c r="F25" s="23"/>
      <c r="G25" s="23"/>
    </row>
    <row r="26" spans="5:7" x14ac:dyDescent="0.3">
      <c r="E26" s="23"/>
      <c r="F26" s="23"/>
      <c r="G26" s="23"/>
    </row>
    <row r="27" spans="5:7" x14ac:dyDescent="0.3">
      <c r="E27" s="23"/>
      <c r="F27" s="23"/>
      <c r="G27" s="23"/>
    </row>
    <row r="28" spans="5:7" x14ac:dyDescent="0.3">
      <c r="E28" s="23"/>
      <c r="F28" s="23"/>
      <c r="G28" s="23"/>
    </row>
    <row r="29" spans="5:7" x14ac:dyDescent="0.3">
      <c r="E29" s="23"/>
      <c r="F29" s="23"/>
      <c r="G29" s="23"/>
    </row>
    <row r="30" spans="5:7" x14ac:dyDescent="0.3">
      <c r="E30" s="23"/>
      <c r="F30" s="23"/>
      <c r="G30" s="23"/>
    </row>
    <row r="31" spans="5:7" x14ac:dyDescent="0.3">
      <c r="E31" s="23"/>
      <c r="F31" s="23"/>
      <c r="G31" s="23"/>
    </row>
    <row r="32" spans="5:7" x14ac:dyDescent="0.3">
      <c r="E32" s="23"/>
      <c r="F32" s="23"/>
      <c r="G32" s="23"/>
    </row>
    <row r="33" spans="5:7" x14ac:dyDescent="0.3">
      <c r="E33" s="23"/>
      <c r="F33" s="23"/>
      <c r="G33" s="23"/>
    </row>
    <row r="34" spans="5:7" x14ac:dyDescent="0.3">
      <c r="E34" s="23"/>
      <c r="F34" s="23"/>
      <c r="G34" s="23"/>
    </row>
    <row r="35" spans="5:7" x14ac:dyDescent="0.3">
      <c r="E35" s="23"/>
      <c r="F35" s="23"/>
      <c r="G35" s="23"/>
    </row>
    <row r="36" spans="5:7" x14ac:dyDescent="0.3">
      <c r="E36" s="23"/>
      <c r="F36" s="23"/>
      <c r="G36" s="23"/>
    </row>
    <row r="37" spans="5:7" x14ac:dyDescent="0.3">
      <c r="E37" s="23"/>
      <c r="F37" s="23"/>
      <c r="G37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52CE-92CC-470D-BF5B-E40A41EDF1FA}">
  <sheetPr codeName="Sheet4"/>
  <dimension ref="B2:O15"/>
  <sheetViews>
    <sheetView tabSelected="1" zoomScale="85" zoomScaleNormal="85" workbookViewId="0"/>
  </sheetViews>
  <sheetFormatPr defaultRowHeight="14.4" x14ac:dyDescent="0.3"/>
  <cols>
    <col min="1" max="1" width="7.5546875" style="8" customWidth="1"/>
    <col min="2" max="5" width="17.21875" style="8" customWidth="1"/>
    <col min="6" max="6" width="7.109375" style="8" customWidth="1"/>
    <col min="7" max="10" width="17.109375" style="8" customWidth="1"/>
    <col min="11" max="11" width="5" style="8" customWidth="1"/>
    <col min="12" max="15" width="17.109375" style="8" customWidth="1"/>
    <col min="16" max="16384" width="8.88671875" style="8"/>
  </cols>
  <sheetData>
    <row r="2" spans="2:15" x14ac:dyDescent="0.3">
      <c r="C2" s="12" t="s">
        <v>125</v>
      </c>
      <c r="L2" s="58"/>
      <c r="M2" s="58" t="s">
        <v>45</v>
      </c>
      <c r="N2" s="58" t="s">
        <v>46</v>
      </c>
    </row>
    <row r="3" spans="2:15" ht="23.4" customHeight="1" thickBot="1" x14ac:dyDescent="0.4">
      <c r="B3" s="65" t="s">
        <v>60</v>
      </c>
      <c r="C3" s="65"/>
      <c r="D3" s="65"/>
      <c r="E3" s="65"/>
      <c r="G3" s="66" t="s">
        <v>87</v>
      </c>
      <c r="H3" s="66"/>
      <c r="I3" s="66"/>
      <c r="J3" s="66"/>
      <c r="L3" s="59" t="s">
        <v>104</v>
      </c>
      <c r="M3" s="60">
        <f ca="1">TODAY()</f>
        <v>45763</v>
      </c>
      <c r="N3" s="61">
        <f ca="1">NOW()</f>
        <v>45763.665622222223</v>
      </c>
      <c r="O3" s="57"/>
    </row>
    <row r="4" spans="2:15" ht="85.8" customHeight="1" thickTop="1" thickBot="1" x14ac:dyDescent="0.35">
      <c r="B4" s="32" t="str">
        <f>VLOOKUP(Sheet1!K37,Sheet1!$K$26:$L$37,2,0)</f>
        <v>Ju-21° 28', Ve-21° 44', Ra-16° 14'</v>
      </c>
      <c r="C4" s="32" t="str">
        <f>VLOOKUP(Sheet1!K26,Sheet1!$K$26:$L$37,2,0)</f>
        <v>Su-20° 44', Me-18° 22'</v>
      </c>
      <c r="D4" s="32" t="str">
        <f>VLOOKUP(Sheet1!K27,Sheet1!$K$26:$L$37,2,0)</f>
        <v>Ma-26° 4'</v>
      </c>
      <c r="E4" s="32" t="str">
        <f>VLOOKUP(Sheet1!K28,Sheet1!$K$26:$L$37,2,0)</f>
        <v/>
      </c>
      <c r="F4" s="11"/>
      <c r="G4" s="32" t="str">
        <f>VLOOKUP(Sheet1!K53,Sheet1!$K$42:$L$53,2,0)</f>
        <v/>
      </c>
      <c r="H4" s="32" t="str">
        <f>VLOOKUP(Sheet1!K42,Sheet1!$K$42:$L$53,2,0)</f>
        <v>Ur, As</v>
      </c>
      <c r="I4" s="32" t="str">
        <f>VLOOKUP(Sheet1!K43,Sheet1!$K$42:$L$53,2,0)</f>
        <v>Ke</v>
      </c>
      <c r="J4" s="32" t="str">
        <f>VLOOKUP(Sheet1!K44,Sheet1!$K$42:$L$53,2,0)</f>
        <v/>
      </c>
      <c r="L4" s="32" t="str">
        <f>VLOOKUP(Sheet1!K92,Sheet1!$K$81:$L$92,2,0)</f>
        <v>Me-5° 54', Ve-0° 38', Sa-2° 5', Ne-6° 24', Ra-1° 42'</v>
      </c>
      <c r="M4" s="32" t="str">
        <f>VLOOKUP(Sheet1!K81,Sheet1!$K$81:$L$92,2,0)</f>
        <v>Su-2° 28'</v>
      </c>
      <c r="N4" s="32" t="str">
        <f>VLOOKUP(Sheet1!K82,Sheet1!$K$81:$L$92,2,0)</f>
        <v>Ju-24° 22', Ur-1° 19'</v>
      </c>
      <c r="O4" s="32" t="str">
        <f>VLOOKUP(Sheet1!K83,Sheet1!$K$81:$L$92,2,0)</f>
        <v/>
      </c>
    </row>
    <row r="5" spans="2:15" ht="85.8" customHeight="1" thickTop="1" thickBot="1" x14ac:dyDescent="0.35">
      <c r="B5" s="32" t="str">
        <f>VLOOKUP(Sheet1!K36,Sheet1!$K$26:$L$37,2,0)</f>
        <v/>
      </c>
      <c r="C5" s="67" t="s">
        <v>108</v>
      </c>
      <c r="D5" s="68"/>
      <c r="E5" s="32" t="str">
        <f>VLOOKUP(Sheet1!K29,Sheet1!$K$26:$L$37,2,0)</f>
        <v>Mo-13° 27'</v>
      </c>
      <c r="F5" s="11"/>
      <c r="G5" s="32" t="str">
        <f>VLOOKUP(Sheet1!K52,Sheet1!$K$42:$L$53,2,0)</f>
        <v>Sa, Pl</v>
      </c>
      <c r="H5" s="69"/>
      <c r="I5" s="70"/>
      <c r="J5" s="32" t="str">
        <f>VLOOKUP(Sheet1!K45,Sheet1!$K$42:$L$53,2,0)</f>
        <v/>
      </c>
      <c r="L5" s="32" t="str">
        <f>VLOOKUP(Sheet1!K91,Sheet1!$K$81:$L$92,2,0)</f>
        <v/>
      </c>
      <c r="M5" s="69"/>
      <c r="N5" s="70"/>
      <c r="O5" s="32" t="str">
        <f>VLOOKUP(Sheet1!K84,Sheet1!$K$81:$L$92,2,0)</f>
        <v>Ma-5° 5'</v>
      </c>
    </row>
    <row r="6" spans="2:15" ht="85.8" customHeight="1" thickTop="1" thickBot="1" x14ac:dyDescent="0.35">
      <c r="B6" s="32" t="str">
        <f>VLOOKUP(Sheet1!K35,Sheet1!$K$26:$L$37,2,0)</f>
        <v/>
      </c>
      <c r="C6" s="30" t="str">
        <f>TEXT((Sheet1!F19),"DD-MM-YYYY")&amp;"
"&amp;Sheet1!G19</f>
        <v>04-05-1985
11:33:38</v>
      </c>
      <c r="D6" s="31" t="str">
        <f>"Logn :"&amp;Sheet1!F7&amp;"  "&amp;"Lati :"&amp;Sheet1!F8&amp;"
 "&amp;Sheet1!C18&amp;",
 "&amp;Sheet1!C19&amp;",
 "&amp;Sheet1!C20</f>
        <v>Logn :77.4167  Lati :28.75
 Ghaziabad,
 Uttar Pradesh,
 India</v>
      </c>
      <c r="E6" s="32" t="str">
        <f>VLOOKUP(Sheet1!K30,Sheet1!$K$26:$L$37,2,0)</f>
        <v/>
      </c>
      <c r="F6" s="11"/>
      <c r="G6" s="32" t="str">
        <f>VLOOKUP(Sheet1!K51,Sheet1!$K$42:$L$53,2,0)</f>
        <v>Ju, Ve</v>
      </c>
      <c r="H6" s="71"/>
      <c r="I6" s="72"/>
      <c r="J6" s="32" t="str">
        <f>VLOOKUP(Sheet1!K46,Sheet1!$K$42:$L$53,2,0)</f>
        <v>Ma, Ne</v>
      </c>
      <c r="L6" s="32" t="str">
        <f>VLOOKUP(Sheet1!K90,Sheet1!$K$81:$L$92,2,0)</f>
        <v>Pl-9° 32'</v>
      </c>
      <c r="M6" s="71"/>
      <c r="N6" s="72"/>
      <c r="O6" s="32" t="str">
        <f>VLOOKUP(Sheet1!K85,Sheet1!$K$81:$L$92,2,0)</f>
        <v>As-26° 3'</v>
      </c>
    </row>
    <row r="7" spans="2:15" ht="85.8" customHeight="1" thickTop="1" thickBot="1" x14ac:dyDescent="0.35">
      <c r="B7" s="32" t="str">
        <f>VLOOKUP(Sheet1!K34,Sheet1!$K$26:$L$37,2,0)</f>
        <v>Ur-2° 34', Ne-14° 9'</v>
      </c>
      <c r="C7" s="32" t="str">
        <f>VLOOKUP(Sheet1!K33,Sheet1!$K$26:$L$37,2,0)</f>
        <v>Sa-26° 31'</v>
      </c>
      <c r="D7" s="32" t="str">
        <f>VLOOKUP(Sheet1!K32,Sheet1!$K$26:$L$37,2,0)</f>
        <v>Pl-14° 44'</v>
      </c>
      <c r="E7" s="32" t="str">
        <f>VLOOKUP(Sheet1!K31,Sheet1!$K$26:$L$37,2,0)</f>
        <v>Ke-16° 14', As-13° 5'</v>
      </c>
      <c r="F7" s="11"/>
      <c r="G7" s="32" t="str">
        <f>VLOOKUP(Sheet1!K50,Sheet1!$K$42:$L$53,2,0)</f>
        <v/>
      </c>
      <c r="H7" s="32" t="str">
        <f>VLOOKUP(Sheet1!K49,Sheet1!$K$42:$L$53,2,0)</f>
        <v>Mo, Ra</v>
      </c>
      <c r="I7" s="32" t="str">
        <f>VLOOKUP(Sheet1!K48,Sheet1!$K$42:$L$53,2,0)</f>
        <v>Su</v>
      </c>
      <c r="J7" s="32" t="str">
        <f>VLOOKUP(Sheet1!K47,Sheet1!$K$42:$L$53,2,0)</f>
        <v>Me</v>
      </c>
      <c r="L7" s="32" t="str">
        <f>VLOOKUP(Sheet1!K89,Sheet1!$K$81:$L$92,2,0)</f>
        <v/>
      </c>
      <c r="M7" s="32" t="str">
        <f>VLOOKUP(Sheet1!K88,Sheet1!$K$81:$L$92,2,0)</f>
        <v>Mo-9° 41'</v>
      </c>
      <c r="N7" s="32" t="str">
        <f>VLOOKUP(Sheet1!K87,Sheet1!$K$81:$L$92,2,0)</f>
        <v/>
      </c>
      <c r="O7" s="32" t="str">
        <f>VLOOKUP(Sheet1!K86,Sheet1!$K$81:$L$92,2,0)</f>
        <v>Ke-1° 42'</v>
      </c>
    </row>
    <row r="8" spans="2:15" ht="13.2" customHeight="1" thickTop="1" x14ac:dyDescent="0.3"/>
    <row r="9" spans="2:15" ht="48.6" customHeight="1" x14ac:dyDescent="0.3">
      <c r="B9" s="62" t="str">
        <f>VLOOKUP(Horoscope!C5,Data!A:K,11,0)</f>
        <v>Here you will see the points noted about the client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4"/>
    </row>
    <row r="10" spans="2:15" ht="48.6" customHeight="1" x14ac:dyDescent="0.3"/>
    <row r="11" spans="2:15" ht="48.6" customHeight="1" x14ac:dyDescent="0.3"/>
    <row r="12" spans="2:15" ht="48.6" customHeight="1" x14ac:dyDescent="0.3"/>
    <row r="13" spans="2:15" ht="48.6" customHeight="1" x14ac:dyDescent="0.3"/>
    <row r="14" spans="2:15" ht="48.6" customHeight="1" x14ac:dyDescent="0.3"/>
    <row r="15" spans="2:15" ht="48.6" customHeight="1" x14ac:dyDescent="0.3"/>
  </sheetData>
  <mergeCells count="6">
    <mergeCell ref="B9:O9"/>
    <mergeCell ref="B3:E3"/>
    <mergeCell ref="G3:J3"/>
    <mergeCell ref="C5:D5"/>
    <mergeCell ref="H5:I6"/>
    <mergeCell ref="M5:N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A018B1-9525-4B00-B955-1F28D99BCCC3}">
          <x14:formula1>
            <xm:f>Data!$A:$A</xm:f>
          </x14:formula1>
          <xm:sqref>C5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Horoscope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DVR</dc:creator>
  <cp:lastModifiedBy>Kishore DVR</cp:lastModifiedBy>
  <dcterms:created xsi:type="dcterms:W3CDTF">2025-03-28T17:50:09Z</dcterms:created>
  <dcterms:modified xsi:type="dcterms:W3CDTF">2025-04-16T10:32:43Z</dcterms:modified>
</cp:coreProperties>
</file>